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ragu\Documents\GitHub\mirela-website\mirela-frontend\public\downloads\"/>
    </mc:Choice>
  </mc:AlternateContent>
  <xr:revisionPtr revIDLastSave="0" documentId="8_{A8158A25-63AA-44B2-A83A-C4DFB4D2D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Inputs" sheetId="2" r:id="rId2"/>
    <sheet name="Results" sheetId="3" r:id="rId3"/>
    <sheet name="Scenar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4" l="1"/>
  <c r="D29" i="4"/>
  <c r="C29" i="4"/>
  <c r="C30" i="4" s="1"/>
  <c r="E27" i="4"/>
  <c r="D27" i="4"/>
  <c r="C27" i="4"/>
  <c r="E26" i="4"/>
  <c r="E28" i="4" s="1"/>
  <c r="E31" i="4" s="1"/>
  <c r="D26" i="4"/>
  <c r="D28" i="4" s="1"/>
  <c r="D31" i="4" s="1"/>
  <c r="C26" i="4"/>
  <c r="C28" i="4" s="1"/>
  <c r="C31" i="4" s="1"/>
  <c r="E25" i="4"/>
  <c r="D25" i="4"/>
  <c r="C25" i="4"/>
  <c r="E24" i="4"/>
  <c r="D24" i="4"/>
  <c r="C24" i="4"/>
  <c r="E23" i="4"/>
  <c r="D23" i="4"/>
  <c r="C23" i="4"/>
  <c r="C26" i="3"/>
  <c r="C25" i="3"/>
  <c r="C22" i="3"/>
  <c r="E15" i="3"/>
  <c r="F15" i="3" s="1"/>
  <c r="D15" i="3"/>
  <c r="C15" i="3"/>
  <c r="C8" i="3"/>
  <c r="C40" i="2"/>
  <c r="C39" i="2"/>
  <c r="C33" i="2"/>
  <c r="C28" i="2"/>
  <c r="C25" i="2"/>
  <c r="C27" i="2" s="1"/>
  <c r="C9" i="3" s="1"/>
  <c r="C17" i="2"/>
  <c r="C16" i="2"/>
  <c r="C19" i="2" s="1"/>
  <c r="C12" i="2"/>
  <c r="C32" i="2" s="1"/>
  <c r="C11" i="2"/>
  <c r="D30" i="4" l="1"/>
  <c r="C10" i="3"/>
  <c r="E30" i="4"/>
  <c r="D8" i="3"/>
  <c r="C31" i="2"/>
  <c r="C27" i="3" s="1"/>
  <c r="C21" i="3" l="1"/>
  <c r="C14" i="3"/>
  <c r="D10" i="3"/>
  <c r="D14" i="3"/>
  <c r="D16" i="3" s="1"/>
  <c r="C23" i="3"/>
  <c r="E14" i="3"/>
  <c r="E16" i="3" s="1"/>
  <c r="D9" i="3"/>
  <c r="C16" i="3" l="1"/>
  <c r="F14" i="3"/>
  <c r="F16" i="3" l="1"/>
  <c r="D18" i="3"/>
  <c r="C18" i="3"/>
  <c r="C17" i="3"/>
  <c r="D17" i="3" s="1"/>
  <c r="E17" i="3" s="1"/>
  <c r="E18" i="3"/>
  <c r="C24" i="3" l="1"/>
  <c r="F18" i="3"/>
</calcChain>
</file>

<file path=xl/sharedStrings.xml><?xml version="1.0" encoding="utf-8"?>
<sst xmlns="http://schemas.openxmlformats.org/spreadsheetml/2006/main" count="132" uniqueCount="115">
  <si>
    <t>Finance Automation ROI Calculator</t>
  </si>
  <si>
    <t>ABOUT THIS CALCULATOR</t>
  </si>
  <si>
    <t>This calculator estimates the return on investment (ROI) of a finance</t>
  </si>
  <si>
    <t>automation initiative. It covers three value drivers:</t>
  </si>
  <si>
    <t xml:space="preserve">   1.  Time savings — hours recovered through automation</t>
  </si>
  <si>
    <t xml:space="preserve">   2.  Error reduction — cost of errors avoided</t>
  </si>
  <si>
    <t xml:space="preserve">   3.  Cost per transaction improvement — efficiency gains at scale</t>
  </si>
  <si>
    <t>HOW TO USE</t>
  </si>
  <si>
    <t>Step 1 —  Go to the 'Inputs' sheet and fill in the blue cells.</t>
  </si>
  <si>
    <t>Step 2 —  Review the 'Results' sheet for your ROI summary.</t>
  </si>
  <si>
    <t>Step 3 —  Use the 'Scenarios' sheet to compare 3 automation options.</t>
  </si>
  <si>
    <t>COLOUR CODING</t>
  </si>
  <si>
    <t xml:space="preserve">   Blue text  =  Input cells — enter your assumptions here</t>
  </si>
  <si>
    <t xml:space="preserve">   Black text  =  Calculated — do not edit these cells</t>
  </si>
  <si>
    <t xml:space="preserve">   Yellow background  =  Key assumption requiring attention</t>
  </si>
  <si>
    <t>Free resource  ·  Mirela Dragulescu Consulting  ·  MD Consulting's website</t>
  </si>
  <si>
    <t>Inputs — Finance Automation ROI Calculator</t>
  </si>
  <si>
    <t>1. CURRENT STATE — TIME &amp; STAFFING</t>
  </si>
  <si>
    <t>Number of FTEs working on this process</t>
  </si>
  <si>
    <t>Full-time equivalents</t>
  </si>
  <si>
    <t>Average fully-loaded hourly cost per FTE (€)</t>
  </si>
  <si>
    <t>Salary + benefits + overhead</t>
  </si>
  <si>
    <t>Hours per FTE per week spent on this process</t>
  </si>
  <si>
    <t>Hours manually spent weekly</t>
  </si>
  <si>
    <t>Working weeks per year</t>
  </si>
  <si>
    <t>Typically 48 after leave</t>
  </si>
  <si>
    <t>Total annual hours on this process (calculated)</t>
  </si>
  <si>
    <t>Calculated — do not edit</t>
  </si>
  <si>
    <t>Annual cost of this process today (€)</t>
  </si>
  <si>
    <t>2. TIME SAVINGS FROM AUTOMATION</t>
  </si>
  <si>
    <t>Expected % of hours automated away</t>
  </si>
  <si>
    <t>e.g. 65% of manual work eliminated</t>
  </si>
  <si>
    <t>Hours recovered per year (calculated)</t>
  </si>
  <si>
    <t>Value of hours recovered — annual (€)</t>
  </si>
  <si>
    <t>% of recovered hours redeployed productively</t>
  </si>
  <si>
    <t>Not all hours become savings</t>
  </si>
  <si>
    <t>Realisable time saving value — annual (€)</t>
  </si>
  <si>
    <t>3. ERROR REDUCTION</t>
  </si>
  <si>
    <t>Current error / exception rate</t>
  </si>
  <si>
    <t>e.g. 8% of transactions have errors</t>
  </si>
  <si>
    <t>Average cost to resolve one error (€)</t>
  </si>
  <si>
    <t>Staff time + rework + escalation</t>
  </si>
  <si>
    <t>Number of transactions processed per year</t>
  </si>
  <si>
    <t>Annual transaction volume</t>
  </si>
  <si>
    <t>Current annual error cost (€)</t>
  </si>
  <si>
    <t>Expected error rate after automation</t>
  </si>
  <si>
    <t>e.g. 2% residual error rate</t>
  </si>
  <si>
    <t>Annual error cost after automation (€)</t>
  </si>
  <si>
    <t>Annual error reduction saving (€)</t>
  </si>
  <si>
    <t>4. COST PER TRANSACTION</t>
  </si>
  <si>
    <t>Current cost per transaction (€)</t>
  </si>
  <si>
    <t>Expected cost per transaction after automation (€)</t>
  </si>
  <si>
    <t>Cost per transaction improvement</t>
  </si>
  <si>
    <t>5. INVESTMENT — AUTOMATION COSTS</t>
  </si>
  <si>
    <t>One-off implementation cost (€)</t>
  </si>
  <si>
    <t>Licence, setup, consulting</t>
  </si>
  <si>
    <t>Annual platform / licence cost (€)</t>
  </si>
  <si>
    <t>Ongoing SaaS or licence fee</t>
  </si>
  <si>
    <t>Annual internal resource cost (€)</t>
  </si>
  <si>
    <t>Admin, change mgmt, maintenance</t>
  </si>
  <si>
    <t>Total Year 1 investment (€)</t>
  </si>
  <si>
    <t>Total annual ongoing cost from Year 2 (€)</t>
  </si>
  <si>
    <t>6. ANALYSIS PERIOD</t>
  </si>
  <si>
    <t>Analysis period (years)</t>
  </si>
  <si>
    <t>Typically 3 years for ROI</t>
  </si>
  <si>
    <t>Results — Finance Automation ROI</t>
  </si>
  <si>
    <t>ANNUAL BENEFITS SUMMARY</t>
  </si>
  <si>
    <t>Benefit</t>
  </si>
  <si>
    <t>Annual Value (€)</t>
  </si>
  <si>
    <t>% of Total Benefit</t>
  </si>
  <si>
    <t>Time savings (realisable)</t>
  </si>
  <si>
    <t>Error reduction savings</t>
  </si>
  <si>
    <t>TOTAL ANNUAL BENEFIT</t>
  </si>
  <si>
    <t>MULTI-YEAR ROI ANALYSIS</t>
  </si>
  <si>
    <t>Year 1</t>
  </si>
  <si>
    <t>Year 2</t>
  </si>
  <si>
    <t>Year 3</t>
  </si>
  <si>
    <t>3-Year Total</t>
  </si>
  <si>
    <t>Annual benefits (€)</t>
  </si>
  <si>
    <t>Investment cost (€)</t>
  </si>
  <si>
    <t>Net benefit (€)</t>
  </si>
  <si>
    <t>Cumulative net benefit (€)</t>
  </si>
  <si>
    <t>-</t>
  </si>
  <si>
    <t>ROI %</t>
  </si>
  <si>
    <t>HEADLINE METRICS</t>
  </si>
  <si>
    <t>Total annual benefit (€)</t>
  </si>
  <si>
    <t>Year 1 total investment (€)</t>
  </si>
  <si>
    <t>Payback period (months)</t>
  </si>
  <si>
    <t>3-year ROI</t>
  </si>
  <si>
    <t>Cost per transaction — before (€)</t>
  </si>
  <si>
    <t>Cost per transaction — after (€)</t>
  </si>
  <si>
    <t>Note: Time savings assume the % of recovered hours redeployed productively (set on Inputs sheet). Error reduction assumes automation achieves the target error rate entered.</t>
  </si>
  <si>
    <t>Scenario Comparison — 3 Automation Options</t>
  </si>
  <si>
    <t>Scenario A
(Conservative)</t>
  </si>
  <si>
    <t>Scenario B
(Base Case)</t>
  </si>
  <si>
    <t>Scenario C
(Optimistic)</t>
  </si>
  <si>
    <t>Enter your assumptions for each scenario below (blue cells). Results calculate automatically.</t>
  </si>
  <si>
    <t>SCENARIO ASSUMPTIONS</t>
  </si>
  <si>
    <t>FTEs on process</t>
  </si>
  <si>
    <t>Avg. hourly cost per FTE (€)</t>
  </si>
  <si>
    <t>Hours/FTE/week on process</t>
  </si>
  <si>
    <t>% of hours automated</t>
  </si>
  <si>
    <t>% of hours redeployed productively</t>
  </si>
  <si>
    <t>Error rate — current</t>
  </si>
  <si>
    <t>Error rate — after automation</t>
  </si>
  <si>
    <t>Cost per error (€)</t>
  </si>
  <si>
    <t>Transactions per year</t>
  </si>
  <si>
    <t>Annual licence + ongoing cost (€)</t>
  </si>
  <si>
    <t>SCENARIO RESULTS  (calculated)</t>
  </si>
  <si>
    <t>Annual hours on process</t>
  </si>
  <si>
    <t>Annual cost of process today (€)</t>
  </si>
  <si>
    <t>Hours recovered per year</t>
  </si>
  <si>
    <t>Time saving value — annual (€)</t>
  </si>
  <si>
    <t>Error saving — annual (€)</t>
  </si>
  <si>
    <t>Year 1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</si>
</sst>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€#,##0"/>
    <numFmt numFmtId="166" formatCode="0.0%"/>
    <numFmt numFmtId="167" formatCode="\€#,##0.00"/>
  </numFmts>
  <fonts count="21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b/>
      <sz val="11"/>
      <color rgb="FF0D1B2A"/>
      <name val="Arial"/>
    </font>
    <font>
      <sz val="9"/>
      <color rgb="FF2D3748"/>
      <name val="Arial"/>
    </font>
    <font>
      <sz val="10"/>
      <color rgb="FF2D3748"/>
      <name val="Arial"/>
    </font>
    <font>
      <sz val="10"/>
      <color rgb="FF0000FF"/>
      <name val="Arial"/>
    </font>
    <font>
      <sz val="10"/>
      <color rgb="FF000000"/>
      <name val="Arial"/>
    </font>
    <font>
      <sz val="9"/>
      <color rgb="FF64748B"/>
      <name val="Arial"/>
    </font>
    <font>
      <b/>
      <sz val="18"/>
      <color rgb="FFFFFFFF"/>
      <name val="Arial"/>
    </font>
    <font>
      <b/>
      <sz val="10"/>
      <color rgb="FFFFFFFF"/>
      <name val="Arial"/>
    </font>
    <font>
      <sz val="9.5"/>
      <color rgb="FF2D3748"/>
      <name val="Arial"/>
    </font>
    <font>
      <b/>
      <sz val="10"/>
      <color rgb="FF0000FF"/>
      <name val="Arial"/>
    </font>
    <font>
      <i/>
      <sz val="8.5"/>
      <color rgb="FF64748B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sz val="9.5"/>
      <color rgb="FF000000"/>
      <name val="Arial"/>
    </font>
    <font>
      <b/>
      <sz val="9.5"/>
      <color rgb="FF2D3748"/>
      <name val="Arial"/>
    </font>
    <font>
      <b/>
      <sz val="11"/>
      <color rgb="FF000000"/>
      <name val="Arial"/>
    </font>
    <font>
      <b/>
      <sz val="9.5"/>
      <color rgb="FFFFFFFF"/>
      <name val="Arial"/>
    </font>
    <font>
      <b/>
      <sz val="13"/>
      <color rgb="FFC07A2D"/>
      <name val="Arial"/>
    </font>
    <font>
      <b/>
      <sz val="12"/>
      <color rgb="FFC07A2D"/>
      <name val="Arial"/>
    </font>
  </fonts>
  <fills count="13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C07A2D"/>
      </patternFill>
    </fill>
    <fill>
      <patternFill patternType="solid">
        <fgColor rgb="FFF7F3ED"/>
      </patternFill>
    </fill>
    <fill>
      <patternFill patternType="solid">
        <fgColor rgb="FFF8F9FA"/>
      </patternFill>
    </fill>
    <fill>
      <patternFill patternType="solid">
        <fgColor rgb="FF1A3C5E"/>
      </patternFill>
    </fill>
    <fill>
      <patternFill patternType="solid">
        <fgColor rgb="FFFEF3C7"/>
      </patternFill>
    </fill>
    <fill>
      <patternFill patternType="solid">
        <fgColor rgb="FFEEF4FF"/>
      </patternFill>
    </fill>
    <fill>
      <patternFill patternType="solid">
        <fgColor rgb="FFFFFFFF"/>
      </patternFill>
    </fill>
    <fill>
      <patternFill patternType="solid">
        <fgColor rgb="FF1E6B4A"/>
      </patternFill>
    </fill>
    <fill>
      <patternFill patternType="solid">
        <fgColor rgb="FF991B1B"/>
      </patternFill>
    </fill>
    <fill>
      <patternFill patternType="solid">
        <fgColor rgb="FF2D3748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A3C5E"/>
      </bottom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  <border>
      <left style="medium">
        <color rgb="FFC07A2D"/>
      </left>
      <right style="medium">
        <color rgb="FFC07A2D"/>
      </right>
      <top style="medium">
        <color rgb="FFC07A2D"/>
      </top>
      <bottom style="medium">
        <color rgb="FFC07A2D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3" borderId="0" xfId="0" applyFill="1"/>
    <xf numFmtId="0" fontId="10" fillId="7" borderId="1" xfId="0" applyFont="1" applyFill="1" applyBorder="1" applyAlignment="1">
      <alignment horizontal="left" vertical="center"/>
    </xf>
    <xf numFmtId="164" fontId="11" fillId="7" borderId="2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165" fontId="11" fillId="8" borderId="2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/>
    </xf>
    <xf numFmtId="164" fontId="11" fillId="8" borderId="2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1" fontId="11" fillId="8" borderId="2" xfId="0" applyNumberFormat="1" applyFont="1" applyFill="1" applyBorder="1" applyAlignment="1">
      <alignment horizontal="center" vertical="center"/>
    </xf>
    <xf numFmtId="1" fontId="13" fillId="5" borderId="2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9" fontId="13" fillId="5" borderId="2" xfId="0" applyNumberFormat="1" applyFont="1" applyFill="1" applyBorder="1" applyAlignment="1">
      <alignment horizontal="center" vertical="center"/>
    </xf>
    <xf numFmtId="166" fontId="11" fillId="7" borderId="2" xfId="0" applyNumberFormat="1" applyFont="1" applyFill="1" applyBorder="1" applyAlignment="1">
      <alignment horizontal="center" vertical="center"/>
    </xf>
    <xf numFmtId="3" fontId="13" fillId="5" borderId="2" xfId="0" applyNumberFormat="1" applyFont="1" applyFill="1" applyBorder="1" applyAlignment="1">
      <alignment horizontal="center" vertical="center"/>
    </xf>
    <xf numFmtId="166" fontId="13" fillId="5" borderId="2" xfId="0" applyNumberFormat="1" applyFont="1" applyFill="1" applyBorder="1" applyAlignment="1">
      <alignment horizontal="center" vertical="center"/>
    </xf>
    <xf numFmtId="0" fontId="13" fillId="5" borderId="0" xfId="0" applyFont="1" applyFill="1"/>
    <xf numFmtId="167" fontId="13" fillId="5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5" fontId="11" fillId="7" borderId="2" xfId="0" applyNumberFormat="1" applyFont="1" applyFill="1" applyBorder="1" applyAlignment="1">
      <alignment horizontal="center" vertical="center"/>
    </xf>
    <xf numFmtId="1" fontId="11" fillId="7" borderId="2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horizontal="center" vertical="center"/>
    </xf>
    <xf numFmtId="165" fontId="13" fillId="9" borderId="1" xfId="0" applyNumberFormat="1" applyFont="1" applyFill="1" applyBorder="1" applyAlignment="1">
      <alignment horizontal="center" vertical="center"/>
    </xf>
    <xf numFmtId="166" fontId="15" fillId="9" borderId="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165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9" fontId="13" fillId="4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165" fontId="17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/>
    <xf numFmtId="0" fontId="16" fillId="4" borderId="1" xfId="0" applyFont="1" applyFill="1" applyBorder="1" applyAlignment="1">
      <alignment horizontal="left" vertical="center"/>
    </xf>
    <xf numFmtId="165" fontId="17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64" fontId="17" fillId="9" borderId="1" xfId="0" applyNumberFormat="1" applyFont="1" applyFill="1" applyBorder="1" applyAlignment="1">
      <alignment horizontal="center" vertical="center"/>
    </xf>
    <xf numFmtId="9" fontId="17" fillId="4" borderId="1" xfId="0" applyNumberFormat="1" applyFont="1" applyFill="1" applyBorder="1" applyAlignment="1">
      <alignment horizontal="center" vertical="center"/>
    </xf>
    <xf numFmtId="167" fontId="17" fillId="9" borderId="1" xfId="0" applyNumberFormat="1" applyFont="1" applyFill="1" applyBorder="1" applyAlignment="1">
      <alignment horizontal="center" vertical="center"/>
    </xf>
    <xf numFmtId="167" fontId="17" fillId="4" borderId="1" xfId="0" applyNumberFormat="1" applyFont="1" applyFill="1" applyBorder="1" applyAlignment="1">
      <alignment horizontal="center" vertical="center"/>
    </xf>
    <xf numFmtId="166" fontId="17" fillId="9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9" fontId="11" fillId="8" borderId="2" xfId="0" applyNumberFormat="1" applyFon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3" fontId="13" fillId="9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65" fontId="19" fillId="2" borderId="3" xfId="0" applyNumberFormat="1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 vertical="center"/>
    </xf>
    <xf numFmtId="9" fontId="20" fillId="7" borderId="4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3" fillId="5" borderId="0" xfId="0" applyFont="1" applyFill="1"/>
    <xf numFmtId="0" fontId="8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abSelected="1" workbookViewId="0"/>
  </sheetViews>
  <sheetFormatPr defaultRowHeight="15" x14ac:dyDescent="0.25"/>
  <cols>
    <col min="1" max="1" width="2" customWidth="1"/>
    <col min="2" max="2" width="28" customWidth="1"/>
    <col min="3" max="3" width="52" customWidth="1"/>
    <col min="4" max="4" width="2" customWidth="1"/>
  </cols>
  <sheetData>
    <row r="1" spans="1:4" ht="8.1" customHeight="1" x14ac:dyDescent="0.25">
      <c r="A1" s="1"/>
      <c r="B1" s="1"/>
      <c r="C1" s="1"/>
      <c r="D1" s="1"/>
    </row>
    <row r="2" spans="1:4" ht="51.95" customHeight="1" x14ac:dyDescent="0.25">
      <c r="A2" s="1"/>
      <c r="B2" s="63" t="s">
        <v>0</v>
      </c>
      <c r="C2" s="57"/>
      <c r="D2" s="1"/>
    </row>
    <row r="3" spans="1:4" ht="3.95" customHeight="1" x14ac:dyDescent="0.25">
      <c r="A3" s="2"/>
      <c r="B3" s="2"/>
      <c r="C3" s="2"/>
      <c r="D3" s="2"/>
    </row>
    <row r="4" spans="1:4" ht="8.1" customHeight="1" x14ac:dyDescent="0.25">
      <c r="A4" s="1"/>
      <c r="B4" s="1"/>
      <c r="C4" s="1"/>
      <c r="D4" s="1"/>
    </row>
    <row r="5" spans="1:4" ht="9.9499999999999993" customHeight="1" x14ac:dyDescent="0.25"/>
    <row r="6" spans="1:4" ht="18" customHeight="1" x14ac:dyDescent="0.25">
      <c r="B6" s="62" t="s">
        <v>1</v>
      </c>
      <c r="C6" s="57"/>
    </row>
    <row r="7" spans="1:4" ht="8.1" customHeight="1" x14ac:dyDescent="0.25">
      <c r="B7" s="58"/>
      <c r="C7" s="57"/>
    </row>
    <row r="8" spans="1:4" ht="15.95" customHeight="1" x14ac:dyDescent="0.25">
      <c r="B8" s="59" t="s">
        <v>2</v>
      </c>
      <c r="C8" s="57"/>
    </row>
    <row r="9" spans="1:4" ht="15.95" customHeight="1" x14ac:dyDescent="0.25">
      <c r="B9" s="59" t="s">
        <v>3</v>
      </c>
      <c r="C9" s="57"/>
    </row>
    <row r="10" spans="1:4" ht="8.1" customHeight="1" x14ac:dyDescent="0.25">
      <c r="B10" s="58"/>
      <c r="C10" s="57"/>
    </row>
    <row r="11" spans="1:4" ht="15.95" customHeight="1" x14ac:dyDescent="0.25">
      <c r="B11" s="59" t="s">
        <v>4</v>
      </c>
      <c r="C11" s="57"/>
    </row>
    <row r="12" spans="1:4" ht="15.95" customHeight="1" x14ac:dyDescent="0.25">
      <c r="B12" s="59" t="s">
        <v>5</v>
      </c>
      <c r="C12" s="57"/>
    </row>
    <row r="13" spans="1:4" ht="15.95" customHeight="1" x14ac:dyDescent="0.25">
      <c r="B13" s="59" t="s">
        <v>6</v>
      </c>
      <c r="C13" s="57"/>
    </row>
    <row r="14" spans="1:4" ht="8.1" customHeight="1" x14ac:dyDescent="0.25">
      <c r="B14" s="58"/>
      <c r="C14" s="57"/>
    </row>
    <row r="15" spans="1:4" ht="18" customHeight="1" x14ac:dyDescent="0.25">
      <c r="B15" s="66" t="s">
        <v>7</v>
      </c>
      <c r="C15" s="57"/>
    </row>
    <row r="16" spans="1:4" ht="8.1" customHeight="1" x14ac:dyDescent="0.25">
      <c r="B16" s="56"/>
      <c r="C16" s="57"/>
    </row>
    <row r="17" spans="2:3" ht="15.95" customHeight="1" x14ac:dyDescent="0.25">
      <c r="B17" s="60" t="s">
        <v>8</v>
      </c>
      <c r="C17" s="57"/>
    </row>
    <row r="18" spans="2:3" ht="15.95" customHeight="1" x14ac:dyDescent="0.25">
      <c r="B18" s="60" t="s">
        <v>9</v>
      </c>
      <c r="C18" s="57"/>
    </row>
    <row r="19" spans="2:3" ht="15.95" customHeight="1" x14ac:dyDescent="0.25">
      <c r="B19" s="60" t="s">
        <v>10</v>
      </c>
      <c r="C19" s="57"/>
    </row>
    <row r="20" spans="2:3" ht="8.1" customHeight="1" x14ac:dyDescent="0.25">
      <c r="B20" s="56"/>
      <c r="C20" s="57"/>
    </row>
    <row r="21" spans="2:3" ht="18" customHeight="1" x14ac:dyDescent="0.25">
      <c r="B21" s="62" t="s">
        <v>11</v>
      </c>
      <c r="C21" s="57"/>
    </row>
    <row r="22" spans="2:3" ht="8.1" customHeight="1" x14ac:dyDescent="0.25">
      <c r="B22" s="58"/>
      <c r="C22" s="57"/>
    </row>
    <row r="23" spans="2:3" ht="15.95" customHeight="1" x14ac:dyDescent="0.25">
      <c r="B23" s="64" t="s">
        <v>12</v>
      </c>
      <c r="C23" s="57"/>
    </row>
    <row r="24" spans="2:3" ht="15.95" customHeight="1" x14ac:dyDescent="0.25">
      <c r="B24" s="65" t="s">
        <v>13</v>
      </c>
      <c r="C24" s="57"/>
    </row>
    <row r="25" spans="2:3" ht="15.95" customHeight="1" x14ac:dyDescent="0.25">
      <c r="B25" s="59" t="s">
        <v>14</v>
      </c>
      <c r="C25" s="57"/>
    </row>
    <row r="26" spans="2:3" ht="8.1" customHeight="1" x14ac:dyDescent="0.25">
      <c r="B26" s="58"/>
      <c r="C26" s="57"/>
    </row>
    <row r="27" spans="2:3" ht="15.95" customHeight="1" x14ac:dyDescent="0.25">
      <c r="B27" s="61" t="s">
        <v>15</v>
      </c>
      <c r="C27" s="57"/>
    </row>
  </sheetData>
  <mergeCells count="23">
    <mergeCell ref="B26:C26"/>
    <mergeCell ref="B27:C27"/>
    <mergeCell ref="B12:C12"/>
    <mergeCell ref="B21:C21"/>
    <mergeCell ref="B2:C2"/>
    <mergeCell ref="B11:C11"/>
    <mergeCell ref="B23:C23"/>
    <mergeCell ref="B14:C14"/>
    <mergeCell ref="B17:C17"/>
    <mergeCell ref="B8:C8"/>
    <mergeCell ref="B13:C13"/>
    <mergeCell ref="B19:C19"/>
    <mergeCell ref="B10:C10"/>
    <mergeCell ref="B9:C9"/>
    <mergeCell ref="B6:C6"/>
    <mergeCell ref="B24:C24"/>
    <mergeCell ref="B15:C15"/>
    <mergeCell ref="B16:C16"/>
    <mergeCell ref="B7:C7"/>
    <mergeCell ref="B25:C25"/>
    <mergeCell ref="B22:C22"/>
    <mergeCell ref="B18:C18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showGridLines="0" workbookViewId="0"/>
  </sheetViews>
  <sheetFormatPr defaultRowHeight="15" x14ac:dyDescent="0.25"/>
  <cols>
    <col min="1" max="1" width="2" customWidth="1"/>
    <col min="2" max="2" width="46" customWidth="1"/>
    <col min="3" max="3" width="20" customWidth="1"/>
    <col min="4" max="4" width="16" customWidth="1"/>
    <col min="5" max="5" width="2" customWidth="1"/>
  </cols>
  <sheetData>
    <row r="1" spans="1:5" ht="8.1" customHeight="1" x14ac:dyDescent="0.25">
      <c r="A1" s="1"/>
      <c r="B1" s="1"/>
      <c r="C1" s="1"/>
      <c r="D1" s="1"/>
      <c r="E1" s="1"/>
    </row>
    <row r="2" spans="1:5" ht="44.1" customHeight="1" x14ac:dyDescent="0.25">
      <c r="A2" s="1"/>
      <c r="B2" s="73" t="s">
        <v>16</v>
      </c>
      <c r="C2" s="57"/>
      <c r="D2" s="57"/>
      <c r="E2" s="1"/>
    </row>
    <row r="3" spans="1:5" ht="3.95" customHeight="1" x14ac:dyDescent="0.25">
      <c r="A3" s="2"/>
      <c r="B3" s="2"/>
      <c r="C3" s="2"/>
      <c r="D3" s="2"/>
      <c r="E3" s="2"/>
    </row>
    <row r="4" spans="1:5" ht="8.1" customHeight="1" x14ac:dyDescent="0.25">
      <c r="A4" s="1"/>
      <c r="B4" s="1"/>
      <c r="C4" s="1"/>
      <c r="D4" s="1"/>
      <c r="E4" s="1"/>
    </row>
    <row r="5" spans="1:5" ht="9.9499999999999993" customHeight="1" x14ac:dyDescent="0.25"/>
    <row r="6" spans="1:5" ht="20.100000000000001" customHeight="1" x14ac:dyDescent="0.25">
      <c r="B6" s="71" t="s">
        <v>17</v>
      </c>
      <c r="C6" s="57"/>
      <c r="D6" s="57"/>
    </row>
    <row r="7" spans="1:5" ht="21.95" customHeight="1" x14ac:dyDescent="0.25">
      <c r="B7" s="3" t="s">
        <v>18</v>
      </c>
      <c r="C7" s="4">
        <v>3</v>
      </c>
      <c r="D7" s="5" t="s">
        <v>19</v>
      </c>
    </row>
    <row r="8" spans="1:5" ht="21.95" customHeight="1" x14ac:dyDescent="0.25">
      <c r="B8" s="6" t="s">
        <v>20</v>
      </c>
      <c r="C8" s="7">
        <v>45</v>
      </c>
      <c r="D8" s="8" t="s">
        <v>21</v>
      </c>
    </row>
    <row r="9" spans="1:5" ht="21.95" customHeight="1" x14ac:dyDescent="0.25">
      <c r="B9" s="9" t="s">
        <v>22</v>
      </c>
      <c r="C9" s="10">
        <v>8</v>
      </c>
      <c r="D9" s="11" t="s">
        <v>23</v>
      </c>
    </row>
    <row r="10" spans="1:5" ht="21.95" customHeight="1" x14ac:dyDescent="0.25">
      <c r="B10" s="6" t="s">
        <v>24</v>
      </c>
      <c r="C10" s="12">
        <v>48</v>
      </c>
      <c r="D10" s="8" t="s">
        <v>25</v>
      </c>
    </row>
    <row r="11" spans="1:5" ht="21.95" customHeight="1" x14ac:dyDescent="0.25">
      <c r="B11" s="9" t="s">
        <v>26</v>
      </c>
      <c r="C11" s="13">
        <f>C7*C9*C10</f>
        <v>1152</v>
      </c>
      <c r="D11" s="11" t="s">
        <v>27</v>
      </c>
    </row>
    <row r="12" spans="1:5" ht="21.95" customHeight="1" x14ac:dyDescent="0.25">
      <c r="B12" s="6" t="s">
        <v>28</v>
      </c>
      <c r="C12" s="14">
        <f>C11*C8</f>
        <v>51840</v>
      </c>
      <c r="D12" s="8" t="s">
        <v>27</v>
      </c>
    </row>
    <row r="13" spans="1:5" ht="8.1" customHeight="1" x14ac:dyDescent="0.25"/>
    <row r="14" spans="1:5" ht="20.100000000000001" customHeight="1" x14ac:dyDescent="0.25">
      <c r="B14" s="68" t="s">
        <v>29</v>
      </c>
      <c r="C14" s="57"/>
      <c r="D14" s="57"/>
    </row>
    <row r="15" spans="1:5" ht="21.95" customHeight="1" x14ac:dyDescent="0.25">
      <c r="B15" s="3" t="s">
        <v>30</v>
      </c>
      <c r="C15" s="15">
        <v>0.65</v>
      </c>
      <c r="D15" s="5" t="s">
        <v>31</v>
      </c>
    </row>
    <row r="16" spans="1:5" ht="21.95" customHeight="1" x14ac:dyDescent="0.25">
      <c r="B16" s="6" t="s">
        <v>32</v>
      </c>
      <c r="C16" s="13">
        <f>C11*C14</f>
        <v>0</v>
      </c>
      <c r="D16" s="8" t="s">
        <v>27</v>
      </c>
    </row>
    <row r="17" spans="2:4" ht="21.95" customHeight="1" x14ac:dyDescent="0.25">
      <c r="B17" s="9" t="s">
        <v>33</v>
      </c>
      <c r="C17" s="7">
        <f>C15*C8</f>
        <v>29.25</v>
      </c>
      <c r="D17" s="11" t="s">
        <v>27</v>
      </c>
    </row>
    <row r="18" spans="2:4" ht="21.95" customHeight="1" x14ac:dyDescent="0.25">
      <c r="B18" s="6" t="s">
        <v>34</v>
      </c>
      <c r="C18" s="15">
        <v>0.7</v>
      </c>
      <c r="D18" s="8" t="s">
        <v>35</v>
      </c>
    </row>
    <row r="19" spans="2:4" ht="21.95" customHeight="1" x14ac:dyDescent="0.25">
      <c r="B19" s="9" t="s">
        <v>36</v>
      </c>
      <c r="C19" s="7">
        <f>C16*C17</f>
        <v>0</v>
      </c>
      <c r="D19" s="11" t="s">
        <v>27</v>
      </c>
    </row>
    <row r="20" spans="2:4" ht="8.1" customHeight="1" x14ac:dyDescent="0.25"/>
    <row r="21" spans="2:4" ht="20.100000000000001" customHeight="1" x14ac:dyDescent="0.25">
      <c r="B21" s="70" t="s">
        <v>37</v>
      </c>
      <c r="C21" s="57"/>
      <c r="D21" s="57"/>
    </row>
    <row r="22" spans="2:4" ht="21.95" customHeight="1" x14ac:dyDescent="0.25">
      <c r="B22" s="3" t="s">
        <v>38</v>
      </c>
      <c r="C22" s="16">
        <v>0.08</v>
      </c>
      <c r="D22" s="5" t="s">
        <v>39</v>
      </c>
    </row>
    <row r="23" spans="2:4" ht="21.95" customHeight="1" x14ac:dyDescent="0.25">
      <c r="B23" s="9" t="s">
        <v>40</v>
      </c>
      <c r="C23" s="7">
        <v>120</v>
      </c>
      <c r="D23" s="11" t="s">
        <v>41</v>
      </c>
    </row>
    <row r="24" spans="2:4" ht="21.95" customHeight="1" x14ac:dyDescent="0.25">
      <c r="B24" s="3" t="s">
        <v>42</v>
      </c>
      <c r="C24" s="17">
        <v>5000</v>
      </c>
      <c r="D24" s="5" t="s">
        <v>43</v>
      </c>
    </row>
    <row r="25" spans="2:4" ht="21.95" customHeight="1" x14ac:dyDescent="0.25">
      <c r="B25" s="9" t="s">
        <v>44</v>
      </c>
      <c r="C25" s="7">
        <f>C21*C22*C23</f>
        <v>0</v>
      </c>
      <c r="D25" s="11" t="s">
        <v>27</v>
      </c>
    </row>
    <row r="26" spans="2:4" ht="21.95" customHeight="1" x14ac:dyDescent="0.25">
      <c r="B26" s="6" t="s">
        <v>45</v>
      </c>
      <c r="C26" s="18">
        <v>0.02</v>
      </c>
      <c r="D26" s="8" t="s">
        <v>46</v>
      </c>
    </row>
    <row r="27" spans="2:4" ht="21.95" customHeight="1" x14ac:dyDescent="0.25">
      <c r="B27" s="9" t="s">
        <v>47</v>
      </c>
      <c r="C27" s="14">
        <f>C25*C22*C23</f>
        <v>0</v>
      </c>
      <c r="D27" s="11" t="s">
        <v>27</v>
      </c>
    </row>
    <row r="28" spans="2:4" ht="21.95" customHeight="1" x14ac:dyDescent="0.25">
      <c r="B28" s="6" t="s">
        <v>48</v>
      </c>
      <c r="C28" s="7">
        <f>C24-C26</f>
        <v>4999.9799999999996</v>
      </c>
      <c r="D28" s="8" t="s">
        <v>27</v>
      </c>
    </row>
    <row r="29" spans="2:4" ht="8.1" customHeight="1" x14ac:dyDescent="0.25">
      <c r="C29" s="19"/>
    </row>
    <row r="30" spans="2:4" ht="20.100000000000001" customHeight="1" x14ac:dyDescent="0.25">
      <c r="B30" s="71" t="s">
        <v>49</v>
      </c>
      <c r="C30" s="72"/>
      <c r="D30" s="57"/>
    </row>
    <row r="31" spans="2:4" ht="21.95" customHeight="1" x14ac:dyDescent="0.25">
      <c r="B31" s="9" t="s">
        <v>50</v>
      </c>
      <c r="C31" s="20">
        <f>IFERROR(C12/C23,0)</f>
        <v>432</v>
      </c>
      <c r="D31" s="11" t="s">
        <v>27</v>
      </c>
    </row>
    <row r="32" spans="2:4" ht="21.95" customHeight="1" x14ac:dyDescent="0.25">
      <c r="B32" s="6" t="s">
        <v>51</v>
      </c>
      <c r="C32" s="21">
        <f>IFERROR((C12-C18)/C23,0)</f>
        <v>431.99416666666667</v>
      </c>
      <c r="D32" s="8" t="s">
        <v>27</v>
      </c>
    </row>
    <row r="33" spans="2:4" ht="21.95" customHeight="1" x14ac:dyDescent="0.25">
      <c r="B33" s="9" t="s">
        <v>52</v>
      </c>
      <c r="C33" s="22">
        <f>IFERROR(1-(C30/C29),0)</f>
        <v>0</v>
      </c>
      <c r="D33" s="11" t="s">
        <v>27</v>
      </c>
    </row>
    <row r="34" spans="2:4" ht="8.1" customHeight="1" x14ac:dyDescent="0.25"/>
    <row r="35" spans="2:4" ht="20.100000000000001" customHeight="1" x14ac:dyDescent="0.25">
      <c r="B35" s="69" t="s">
        <v>53</v>
      </c>
      <c r="C35" s="57"/>
      <c r="D35" s="57"/>
    </row>
    <row r="36" spans="2:4" ht="21.95" customHeight="1" x14ac:dyDescent="0.25">
      <c r="B36" s="3" t="s">
        <v>54</v>
      </c>
      <c r="C36" s="23">
        <v>25000</v>
      </c>
      <c r="D36" s="5" t="s">
        <v>55</v>
      </c>
    </row>
    <row r="37" spans="2:4" ht="21.95" customHeight="1" x14ac:dyDescent="0.25">
      <c r="B37" s="3" t="s">
        <v>56</v>
      </c>
      <c r="C37" s="14">
        <v>8000</v>
      </c>
      <c r="D37" s="5" t="s">
        <v>57</v>
      </c>
    </row>
    <row r="38" spans="2:4" ht="21.95" customHeight="1" x14ac:dyDescent="0.25">
      <c r="B38" s="6" t="s">
        <v>58</v>
      </c>
      <c r="C38" s="14">
        <v>5000</v>
      </c>
      <c r="D38" s="8" t="s">
        <v>59</v>
      </c>
    </row>
    <row r="39" spans="2:4" ht="21.95" customHeight="1" x14ac:dyDescent="0.25">
      <c r="B39" s="9" t="s">
        <v>60</v>
      </c>
      <c r="C39" s="7">
        <f>C34+C35+C36</f>
        <v>25000</v>
      </c>
      <c r="D39" s="11" t="s">
        <v>27</v>
      </c>
    </row>
    <row r="40" spans="2:4" ht="21.95" customHeight="1" x14ac:dyDescent="0.25">
      <c r="B40" s="6" t="s">
        <v>61</v>
      </c>
      <c r="C40" s="7">
        <f>C35+C36</f>
        <v>25000</v>
      </c>
      <c r="D40" s="8" t="s">
        <v>27</v>
      </c>
    </row>
    <row r="41" spans="2:4" ht="8.1" customHeight="1" x14ac:dyDescent="0.25"/>
    <row r="42" spans="2:4" ht="20.100000000000001" customHeight="1" x14ac:dyDescent="0.25">
      <c r="B42" s="67" t="s">
        <v>62</v>
      </c>
      <c r="C42" s="57"/>
      <c r="D42" s="57"/>
    </row>
    <row r="43" spans="2:4" ht="21.95" customHeight="1" x14ac:dyDescent="0.25">
      <c r="B43" s="3" t="s">
        <v>63</v>
      </c>
      <c r="C43" s="24">
        <v>3</v>
      </c>
      <c r="D43" s="5" t="s">
        <v>64</v>
      </c>
    </row>
  </sheetData>
  <mergeCells count="7">
    <mergeCell ref="B6:D6"/>
    <mergeCell ref="B2:D2"/>
    <mergeCell ref="B42:D42"/>
    <mergeCell ref="B14:D14"/>
    <mergeCell ref="B35:D35"/>
    <mergeCell ref="B21:D21"/>
    <mergeCell ref="B30:D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workbookViewId="0"/>
  </sheetViews>
  <sheetFormatPr defaultRowHeight="15" x14ac:dyDescent="0.25"/>
  <cols>
    <col min="1" max="1" width="2" customWidth="1"/>
    <col min="2" max="2" width="40" customWidth="1"/>
    <col min="3" max="6" width="22" customWidth="1"/>
    <col min="7" max="7" width="2" customWidth="1"/>
  </cols>
  <sheetData>
    <row r="1" spans="1:7" ht="8.1" customHeight="1" x14ac:dyDescent="0.25">
      <c r="A1" s="1"/>
      <c r="B1" s="1"/>
      <c r="C1" s="1"/>
      <c r="D1" s="1"/>
      <c r="E1" s="1"/>
      <c r="F1" s="1"/>
      <c r="G1" s="1"/>
    </row>
    <row r="2" spans="1:7" ht="44.1" customHeight="1" x14ac:dyDescent="0.25">
      <c r="A2" s="1"/>
      <c r="B2" s="73" t="s">
        <v>65</v>
      </c>
      <c r="C2" s="57"/>
      <c r="D2" s="57"/>
      <c r="E2" s="57"/>
      <c r="F2" s="57"/>
      <c r="G2" s="1"/>
    </row>
    <row r="3" spans="1:7" ht="3.95" customHeight="1" x14ac:dyDescent="0.25">
      <c r="A3" s="2"/>
      <c r="B3" s="2"/>
      <c r="C3" s="2"/>
      <c r="D3" s="2"/>
      <c r="E3" s="2"/>
      <c r="F3" s="2"/>
      <c r="G3" s="2"/>
    </row>
    <row r="4" spans="1:7" ht="8.1" customHeight="1" x14ac:dyDescent="0.25">
      <c r="A4" s="1"/>
      <c r="B4" s="1"/>
      <c r="C4" s="1"/>
      <c r="D4" s="1"/>
      <c r="E4" s="1"/>
      <c r="F4" s="1"/>
      <c r="G4" s="1"/>
    </row>
    <row r="5" spans="1:7" ht="9.9499999999999993" customHeight="1" x14ac:dyDescent="0.25"/>
    <row r="6" spans="1:7" ht="20.100000000000001" customHeight="1" x14ac:dyDescent="0.25">
      <c r="B6" s="71" t="s">
        <v>66</v>
      </c>
      <c r="C6" s="57"/>
      <c r="D6" s="57"/>
      <c r="E6" s="57"/>
      <c r="F6" s="57"/>
    </row>
    <row r="7" spans="1:7" ht="20.100000000000001" customHeight="1" x14ac:dyDescent="0.25">
      <c r="B7" s="25" t="s">
        <v>67</v>
      </c>
      <c r="C7" s="25" t="s">
        <v>68</v>
      </c>
      <c r="D7" s="25" t="s">
        <v>69</v>
      </c>
    </row>
    <row r="8" spans="1:7" ht="21.95" customHeight="1" x14ac:dyDescent="0.25">
      <c r="B8" s="6" t="s">
        <v>70</v>
      </c>
      <c r="C8" s="26">
        <f>Inputs!C18</f>
        <v>0.7</v>
      </c>
      <c r="D8" s="27">
        <f>IFERROR(C8/C10,0)</f>
        <v>1</v>
      </c>
    </row>
    <row r="9" spans="1:7" ht="21.95" customHeight="1" x14ac:dyDescent="0.25">
      <c r="B9" s="9" t="s">
        <v>71</v>
      </c>
      <c r="C9" s="28">
        <f>Inputs!C27</f>
        <v>0</v>
      </c>
      <c r="D9" s="29">
        <f>IFERROR(C9/C10,0)</f>
        <v>0</v>
      </c>
    </row>
    <row r="10" spans="1:7" ht="24" customHeight="1" x14ac:dyDescent="0.25">
      <c r="B10" s="30" t="s">
        <v>72</v>
      </c>
      <c r="C10" s="31">
        <f>SUM(C8:C9)</f>
        <v>0.7</v>
      </c>
      <c r="D10" s="32">
        <f>IFERROR(C10/C10,"-")</f>
        <v>1</v>
      </c>
    </row>
    <row r="12" spans="1:7" ht="20.100000000000001" customHeight="1" x14ac:dyDescent="0.25">
      <c r="B12" s="68" t="s">
        <v>73</v>
      </c>
      <c r="C12" s="57"/>
      <c r="D12" s="57"/>
      <c r="E12" s="57"/>
      <c r="F12" s="57"/>
    </row>
    <row r="13" spans="1:7" ht="20.100000000000001" customHeight="1" x14ac:dyDescent="0.25">
      <c r="B13" s="33"/>
      <c r="C13" s="33" t="s">
        <v>74</v>
      </c>
      <c r="D13" s="33" t="s">
        <v>75</v>
      </c>
      <c r="E13" s="33" t="s">
        <v>76</v>
      </c>
      <c r="F13" s="33" t="s">
        <v>77</v>
      </c>
    </row>
    <row r="14" spans="1:7" ht="21.95" customHeight="1" x14ac:dyDescent="0.25">
      <c r="B14" s="6" t="s">
        <v>78</v>
      </c>
      <c r="C14" s="34">
        <f>C10</f>
        <v>0.7</v>
      </c>
      <c r="D14" s="34">
        <f>C10</f>
        <v>0.7</v>
      </c>
      <c r="E14" s="34">
        <f>C10</f>
        <v>0.7</v>
      </c>
      <c r="F14" s="34">
        <f>SUM(C14:E14)</f>
        <v>2.0999999999999996</v>
      </c>
    </row>
    <row r="15" spans="1:7" ht="21.95" customHeight="1" x14ac:dyDescent="0.25">
      <c r="B15" s="9" t="s">
        <v>79</v>
      </c>
      <c r="C15" s="35">
        <f>Inputs!C37</f>
        <v>8000</v>
      </c>
      <c r="D15" s="35">
        <f>Inputs!C38</f>
        <v>5000</v>
      </c>
      <c r="E15" s="35">
        <f>Inputs!C38</f>
        <v>5000</v>
      </c>
      <c r="F15" s="35">
        <f>SUM(C15:E15)</f>
        <v>18000</v>
      </c>
    </row>
    <row r="16" spans="1:7" ht="21.95" customHeight="1" x14ac:dyDescent="0.25">
      <c r="B16" s="6" t="s">
        <v>80</v>
      </c>
      <c r="C16" s="26">
        <f>C14-C15</f>
        <v>-7999.3</v>
      </c>
      <c r="D16" s="26">
        <f>D14-D15</f>
        <v>-4999.3</v>
      </c>
      <c r="E16" s="26">
        <f>E14-E15</f>
        <v>-4999.3</v>
      </c>
      <c r="F16" s="26">
        <f>SUM(C16:E16)</f>
        <v>-17997.900000000001</v>
      </c>
    </row>
    <row r="17" spans="2:6" ht="21.95" customHeight="1" x14ac:dyDescent="0.25">
      <c r="B17" s="9" t="s">
        <v>81</v>
      </c>
      <c r="C17" s="28">
        <f>C16</f>
        <v>-7999.3</v>
      </c>
      <c r="D17" s="28">
        <f>C17+D16</f>
        <v>-12998.6</v>
      </c>
      <c r="E17" s="28">
        <f>D17+E16</f>
        <v>-17997.900000000001</v>
      </c>
      <c r="F17" s="28" t="s">
        <v>82</v>
      </c>
    </row>
    <row r="18" spans="2:6" ht="21.95" customHeight="1" x14ac:dyDescent="0.25">
      <c r="B18" s="6" t="s">
        <v>83</v>
      </c>
      <c r="C18" s="36">
        <f>IFERROR(C16/C15,"-")</f>
        <v>-0.99991249999999998</v>
      </c>
      <c r="D18" s="36">
        <f>IFERROR((C16+D16)/(C15+D15),"-")</f>
        <v>-0.99989230769230775</v>
      </c>
      <c r="E18" s="36">
        <f>IFERROR((C16+D16+E16)/(C15+D15+E15),"-")</f>
        <v>-0.99988333333333346</v>
      </c>
      <c r="F18" s="36">
        <f>IFERROR(F16/F15,"-")</f>
        <v>-0.99988333333333346</v>
      </c>
    </row>
    <row r="20" spans="2:6" ht="20.100000000000001" customHeight="1" x14ac:dyDescent="0.25">
      <c r="B20" s="70" t="s">
        <v>84</v>
      </c>
      <c r="C20" s="57"/>
      <c r="D20" s="57"/>
      <c r="E20" s="57"/>
      <c r="F20" s="57"/>
    </row>
    <row r="21" spans="2:6" ht="21.95" customHeight="1" x14ac:dyDescent="0.25">
      <c r="B21" s="37" t="s">
        <v>85</v>
      </c>
      <c r="C21" s="38">
        <f>C10</f>
        <v>0.7</v>
      </c>
      <c r="D21" s="39"/>
      <c r="E21" s="39"/>
      <c r="F21" s="39"/>
    </row>
    <row r="22" spans="2:6" ht="21.95" customHeight="1" x14ac:dyDescent="0.25">
      <c r="B22" s="40" t="s">
        <v>86</v>
      </c>
      <c r="C22" s="41">
        <f>Inputs!C37</f>
        <v>8000</v>
      </c>
      <c r="D22" s="42"/>
      <c r="E22" s="42"/>
      <c r="F22" s="42"/>
    </row>
    <row r="23" spans="2:6" ht="21.95" customHeight="1" x14ac:dyDescent="0.25">
      <c r="B23" s="37" t="s">
        <v>87</v>
      </c>
      <c r="C23" s="43">
        <f>IFERROR(ROUND((Inputs!C37/C10)*12,1),"-")</f>
        <v>137142.9</v>
      </c>
      <c r="D23" s="39"/>
      <c r="E23" s="39"/>
      <c r="F23" s="39"/>
    </row>
    <row r="24" spans="2:6" ht="21.95" customHeight="1" x14ac:dyDescent="0.25">
      <c r="B24" s="40" t="s">
        <v>88</v>
      </c>
      <c r="C24" s="44">
        <f>IFERROR((F16)/F15,"-")</f>
        <v>-0.99988333333333346</v>
      </c>
      <c r="D24" s="42"/>
      <c r="E24" s="42"/>
      <c r="F24" s="42"/>
    </row>
    <row r="25" spans="2:6" ht="21.95" customHeight="1" x14ac:dyDescent="0.25">
      <c r="B25" s="37" t="s">
        <v>89</v>
      </c>
      <c r="C25" s="45">
        <f>Inputs!C29</f>
        <v>0</v>
      </c>
      <c r="D25" s="39"/>
      <c r="E25" s="39"/>
      <c r="F25" s="39"/>
    </row>
    <row r="26" spans="2:6" ht="21.95" customHeight="1" x14ac:dyDescent="0.25">
      <c r="B26" s="40" t="s">
        <v>90</v>
      </c>
      <c r="C26" s="46">
        <f>Inputs!C30</f>
        <v>0</v>
      </c>
      <c r="D26" s="42"/>
      <c r="E26" s="42"/>
      <c r="F26" s="42"/>
    </row>
    <row r="27" spans="2:6" ht="21.95" customHeight="1" x14ac:dyDescent="0.25">
      <c r="B27" s="37" t="s">
        <v>52</v>
      </c>
      <c r="C27" s="47">
        <f>Inputs!C31</f>
        <v>432</v>
      </c>
      <c r="D27" s="39"/>
      <c r="E27" s="39"/>
      <c r="F27" s="39"/>
    </row>
    <row r="29" spans="2:6" ht="15.95" customHeight="1" x14ac:dyDescent="0.25">
      <c r="B29" s="74" t="s">
        <v>91</v>
      </c>
      <c r="C29" s="57"/>
      <c r="D29" s="57"/>
      <c r="E29" s="57"/>
      <c r="F29" s="57"/>
    </row>
  </sheetData>
  <mergeCells count="5">
    <mergeCell ref="B29:F29"/>
    <mergeCell ref="B12:F12"/>
    <mergeCell ref="B6:F6"/>
    <mergeCell ref="B2:F2"/>
    <mergeCell ref="B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showGridLines="0" workbookViewId="0"/>
  </sheetViews>
  <sheetFormatPr defaultRowHeight="15" x14ac:dyDescent="0.25"/>
  <cols>
    <col min="1" max="1" width="2" customWidth="1"/>
    <col min="2" max="2" width="38" customWidth="1"/>
    <col min="3" max="5" width="20" customWidth="1"/>
    <col min="6" max="6" width="2" customWidth="1"/>
  </cols>
  <sheetData>
    <row r="1" spans="1:6" ht="8.1" customHeight="1" x14ac:dyDescent="0.25">
      <c r="A1" s="1"/>
      <c r="B1" s="1"/>
      <c r="C1" s="1"/>
      <c r="D1" s="1"/>
      <c r="E1" s="1"/>
      <c r="F1" s="1"/>
    </row>
    <row r="2" spans="1:6" ht="44.1" customHeight="1" x14ac:dyDescent="0.25">
      <c r="A2" s="1"/>
      <c r="B2" s="73" t="s">
        <v>92</v>
      </c>
      <c r="C2" s="57"/>
      <c r="D2" s="57"/>
      <c r="E2" s="57"/>
      <c r="F2" s="1"/>
    </row>
    <row r="3" spans="1:6" ht="3.95" customHeight="1" x14ac:dyDescent="0.25">
      <c r="A3" s="2"/>
      <c r="B3" s="2"/>
      <c r="C3" s="2"/>
      <c r="D3" s="2"/>
      <c r="E3" s="2"/>
      <c r="F3" s="2"/>
    </row>
    <row r="4" spans="1:6" ht="8.1" customHeight="1" x14ac:dyDescent="0.25">
      <c r="A4" s="1"/>
      <c r="B4" s="1"/>
      <c r="C4" s="1"/>
      <c r="D4" s="1"/>
      <c r="E4" s="1"/>
      <c r="F4" s="1"/>
    </row>
    <row r="5" spans="1:6" ht="9.9499999999999993" customHeight="1" x14ac:dyDescent="0.25"/>
    <row r="6" spans="1:6" ht="30" customHeight="1" x14ac:dyDescent="0.25">
      <c r="B6" s="48"/>
      <c r="C6" s="48" t="s">
        <v>93</v>
      </c>
      <c r="D6" s="48" t="s">
        <v>94</v>
      </c>
      <c r="E6" s="48" t="s">
        <v>95</v>
      </c>
    </row>
    <row r="7" spans="1:6" ht="15.95" customHeight="1" x14ac:dyDescent="0.25">
      <c r="B7" s="75" t="s">
        <v>96</v>
      </c>
      <c r="C7" s="57"/>
      <c r="D7" s="57"/>
      <c r="E7" s="57"/>
    </row>
    <row r="8" spans="1:6" ht="8.1" customHeight="1" x14ac:dyDescent="0.25"/>
    <row r="9" spans="1:6" ht="20.100000000000001" customHeight="1" x14ac:dyDescent="0.25">
      <c r="B9" s="71" t="s">
        <v>97</v>
      </c>
      <c r="C9" s="57"/>
      <c r="D9" s="57"/>
      <c r="E9" s="57"/>
    </row>
    <row r="10" spans="1:6" ht="21.95" customHeight="1" x14ac:dyDescent="0.25">
      <c r="B10" s="6" t="s">
        <v>98</v>
      </c>
      <c r="C10" s="10">
        <v>3</v>
      </c>
      <c r="D10" s="10">
        <v>3</v>
      </c>
      <c r="E10" s="10">
        <v>3</v>
      </c>
    </row>
    <row r="11" spans="1:6" ht="21.95" customHeight="1" x14ac:dyDescent="0.25">
      <c r="B11" s="9" t="s">
        <v>99</v>
      </c>
      <c r="C11" s="7">
        <v>40</v>
      </c>
      <c r="D11" s="7">
        <v>45</v>
      </c>
      <c r="E11" s="7">
        <v>50</v>
      </c>
    </row>
    <row r="12" spans="1:6" ht="21.95" customHeight="1" x14ac:dyDescent="0.25">
      <c r="B12" s="6" t="s">
        <v>100</v>
      </c>
      <c r="C12" s="10">
        <v>6</v>
      </c>
      <c r="D12" s="10">
        <v>8</v>
      </c>
      <c r="E12" s="10">
        <v>10</v>
      </c>
    </row>
    <row r="13" spans="1:6" ht="21.95" customHeight="1" x14ac:dyDescent="0.25">
      <c r="B13" s="9" t="s">
        <v>101</v>
      </c>
      <c r="C13" s="49">
        <v>0.45</v>
      </c>
      <c r="D13" s="49">
        <v>0.65</v>
      </c>
      <c r="E13" s="49">
        <v>0.8</v>
      </c>
    </row>
    <row r="14" spans="1:6" ht="21.95" customHeight="1" x14ac:dyDescent="0.25">
      <c r="B14" s="6" t="s">
        <v>102</v>
      </c>
      <c r="C14" s="49">
        <v>0.5</v>
      </c>
      <c r="D14" s="49">
        <v>0.7</v>
      </c>
      <c r="E14" s="49">
        <v>0.85</v>
      </c>
    </row>
    <row r="15" spans="1:6" ht="21.95" customHeight="1" x14ac:dyDescent="0.25">
      <c r="B15" s="9" t="s">
        <v>103</v>
      </c>
      <c r="C15" s="22">
        <v>0.1</v>
      </c>
      <c r="D15" s="22">
        <v>0.08</v>
      </c>
      <c r="E15" s="22">
        <v>0.06</v>
      </c>
    </row>
    <row r="16" spans="1:6" ht="21.95" customHeight="1" x14ac:dyDescent="0.25">
      <c r="B16" s="6" t="s">
        <v>104</v>
      </c>
      <c r="C16" s="22">
        <v>0.03</v>
      </c>
      <c r="D16" s="22">
        <v>0.02</v>
      </c>
      <c r="E16" s="22">
        <v>0.01</v>
      </c>
    </row>
    <row r="17" spans="2:5" ht="21.95" customHeight="1" x14ac:dyDescent="0.25">
      <c r="B17" s="9" t="s">
        <v>105</v>
      </c>
      <c r="C17" s="7">
        <v>100</v>
      </c>
      <c r="D17" s="7">
        <v>120</v>
      </c>
      <c r="E17" s="7">
        <v>150</v>
      </c>
    </row>
    <row r="18" spans="2:5" ht="21.95" customHeight="1" x14ac:dyDescent="0.25">
      <c r="B18" s="6" t="s">
        <v>106</v>
      </c>
      <c r="C18" s="50">
        <v>4000</v>
      </c>
      <c r="D18" s="50">
        <v>5000</v>
      </c>
      <c r="E18" s="50">
        <v>7000</v>
      </c>
    </row>
    <row r="19" spans="2:5" ht="21.95" customHeight="1" x14ac:dyDescent="0.25">
      <c r="B19" s="9" t="s">
        <v>54</v>
      </c>
      <c r="C19" s="7">
        <v>35000</v>
      </c>
      <c r="D19" s="7">
        <v>25000</v>
      </c>
      <c r="E19" s="7">
        <v>20000</v>
      </c>
    </row>
    <row r="20" spans="2:5" ht="21.95" customHeight="1" x14ac:dyDescent="0.25">
      <c r="B20" s="6" t="s">
        <v>107</v>
      </c>
      <c r="C20" s="7">
        <v>12000</v>
      </c>
      <c r="D20" s="7">
        <v>8000</v>
      </c>
      <c r="E20" s="7">
        <v>6000</v>
      </c>
    </row>
    <row r="22" spans="2:5" ht="20.100000000000001" customHeight="1" x14ac:dyDescent="0.25">
      <c r="B22" s="68" t="s">
        <v>108</v>
      </c>
      <c r="C22" s="57"/>
      <c r="D22" s="57"/>
      <c r="E22" s="57"/>
    </row>
    <row r="23" spans="2:5" ht="21.95" customHeight="1" x14ac:dyDescent="0.25">
      <c r="B23" s="9" t="s">
        <v>109</v>
      </c>
      <c r="C23" s="51">
        <f>C10*C12*48</f>
        <v>864</v>
      </c>
      <c r="D23" s="51">
        <f>D10*D12*48</f>
        <v>1152</v>
      </c>
      <c r="E23" s="51">
        <f>E10*E12*48</f>
        <v>1440</v>
      </c>
    </row>
    <row r="24" spans="2:5" ht="21.95" customHeight="1" x14ac:dyDescent="0.25">
      <c r="B24" s="6" t="s">
        <v>110</v>
      </c>
      <c r="C24" s="26">
        <f>C10*C11*C12*48</f>
        <v>34560</v>
      </c>
      <c r="D24" s="26">
        <f>D10*D11*D12*48</f>
        <v>51840</v>
      </c>
      <c r="E24" s="26">
        <f>E10*E11*E12*48</f>
        <v>72000</v>
      </c>
    </row>
    <row r="25" spans="2:5" ht="21.95" customHeight="1" x14ac:dyDescent="0.25">
      <c r="B25" s="9" t="s">
        <v>111</v>
      </c>
      <c r="C25" s="51">
        <f>C21*C13</f>
        <v>0</v>
      </c>
      <c r="D25" s="51">
        <f>D21*D13</f>
        <v>0</v>
      </c>
      <c r="E25" s="51">
        <f>E21*E13</f>
        <v>0</v>
      </c>
    </row>
    <row r="26" spans="2:5" ht="21.95" customHeight="1" x14ac:dyDescent="0.25">
      <c r="B26" s="6" t="s">
        <v>112</v>
      </c>
      <c r="C26" s="26">
        <f>C22*C11*C14</f>
        <v>0</v>
      </c>
      <c r="D26" s="26">
        <f>D22*D11*D14</f>
        <v>0</v>
      </c>
      <c r="E26" s="26">
        <f>E22*E11*E14</f>
        <v>0</v>
      </c>
    </row>
    <row r="27" spans="2:5" ht="21.95" customHeight="1" x14ac:dyDescent="0.25">
      <c r="B27" s="9" t="s">
        <v>113</v>
      </c>
      <c r="C27" s="28">
        <f>(C15-C16)*C17*C18</f>
        <v>28000.000000000004</v>
      </c>
      <c r="D27" s="28">
        <f>(D15-D16)*D17*D18</f>
        <v>36000</v>
      </c>
      <c r="E27" s="28">
        <f>(E15-E16)*E17*E18</f>
        <v>52499.999999999993</v>
      </c>
    </row>
    <row r="28" spans="2:5" ht="24" customHeight="1" x14ac:dyDescent="0.25">
      <c r="B28" s="52" t="s">
        <v>85</v>
      </c>
      <c r="C28" s="53">
        <f>IFERROR(C26+C27,"-")</f>
        <v>28000.000000000004</v>
      </c>
      <c r="D28" s="53">
        <f>IFERROR(D26+D27,"-")</f>
        <v>36000</v>
      </c>
      <c r="E28" s="53">
        <f>IFERROR(E26+E27,"-")</f>
        <v>52499.999999999993</v>
      </c>
    </row>
    <row r="29" spans="2:5" ht="21.95" customHeight="1" x14ac:dyDescent="0.25">
      <c r="B29" s="6" t="s">
        <v>86</v>
      </c>
      <c r="C29" s="26">
        <f>IFERROR(C19+C20,"-")</f>
        <v>47000</v>
      </c>
      <c r="D29" s="26">
        <f>IFERROR(D19+D20,"-")</f>
        <v>33000</v>
      </c>
      <c r="E29" s="26">
        <f>IFERROR(E19+E20,"-")</f>
        <v>26000</v>
      </c>
    </row>
    <row r="30" spans="2:5" ht="21.95" customHeight="1" x14ac:dyDescent="0.25">
      <c r="B30" s="37" t="s">
        <v>87</v>
      </c>
      <c r="C30" s="54">
        <f>IFERROR(ROUND((C29/C28)*12,1),"-")</f>
        <v>20.100000000000001</v>
      </c>
      <c r="D30" s="54">
        <f>IFERROR(ROUND((D29/D28)*12,1),"-")</f>
        <v>11</v>
      </c>
      <c r="E30" s="54">
        <f>IFERROR(ROUND((E29/E28)*12,1),"-")</f>
        <v>5.9</v>
      </c>
    </row>
    <row r="31" spans="2:5" ht="21.95" customHeight="1" x14ac:dyDescent="0.25">
      <c r="B31" s="40" t="s">
        <v>114</v>
      </c>
      <c r="C31" s="55">
        <f>IFERROR((C28-C29)/C29,"-")</f>
        <v>-0.40425531914893609</v>
      </c>
      <c r="D31" s="55">
        <f>IFERROR((D28-D29)/D29,"-")</f>
        <v>9.0909090909090912E-2</v>
      </c>
      <c r="E31" s="55">
        <f>IFERROR((E28-E29)/E29,"-")</f>
        <v>1.0192307692307689</v>
      </c>
    </row>
  </sheetData>
  <mergeCells count="4">
    <mergeCell ref="B7:E7"/>
    <mergeCell ref="B9:E9"/>
    <mergeCell ref="B22:E2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Inputs</vt:lpstr>
      <vt:lpstr>Results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midragul</cp:lastModifiedBy>
  <dcterms:created xsi:type="dcterms:W3CDTF">2026-06-07T21:28:17Z</dcterms:created>
  <dcterms:modified xsi:type="dcterms:W3CDTF">2026-06-07T21:37:03Z</dcterms:modified>
</cp:coreProperties>
</file>