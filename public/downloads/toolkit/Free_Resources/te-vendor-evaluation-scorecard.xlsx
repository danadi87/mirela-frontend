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corecard"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Arial"/>
      <b val="1"/>
      <color rgb="00FFFFFF"/>
      <sz val="22"/>
    </font>
    <font>
      <name val="Arial"/>
      <i val="1"/>
      <color rgb="0064748B"/>
      <sz val="9"/>
    </font>
    <font>
      <name val="Arial"/>
      <b val="1"/>
      <color rgb="000D1B2A"/>
      <sz val="11"/>
    </font>
    <font>
      <name val="Arial"/>
      <color rgb="002D3748"/>
      <sz val="10"/>
    </font>
    <font>
      <name val="Arial"/>
      <b val="1"/>
      <color rgb="002D3748"/>
      <sz val="10"/>
    </font>
    <font>
      <name val="Arial"/>
      <b val="1"/>
      <color rgb="00FFFFFF"/>
      <sz val="20"/>
    </font>
    <font>
      <name val="Arial"/>
      <b val="1"/>
      <color rgb="0064748B"/>
      <sz val="9"/>
    </font>
    <font>
      <name val="Arial"/>
      <b val="1"/>
      <color rgb="00C07A2D"/>
      <sz val="9"/>
    </font>
    <font>
      <name val="Arial"/>
      <b val="1"/>
      <color rgb="00FFFFFF"/>
      <sz val="8.5"/>
    </font>
    <font>
      <name val="Arial"/>
      <b val="1"/>
      <color rgb="00FFFFFF"/>
      <sz val="9.5"/>
    </font>
    <font>
      <name val="Arial"/>
      <color rgb="0064748B"/>
      <sz val="8"/>
    </font>
    <font>
      <name val="Arial"/>
      <b val="1"/>
      <color rgb="002D3748"/>
      <sz val="9"/>
    </font>
    <font>
      <name val="Arial"/>
      <b val="1"/>
      <color rgb="00C07A2D"/>
      <sz val="8"/>
    </font>
    <font>
      <name val="Arial"/>
      <i val="1"/>
      <color rgb="0064748B"/>
      <sz val="8.5"/>
    </font>
    <font>
      <name val="Arial"/>
      <color rgb="002D3748"/>
      <sz val="9"/>
    </font>
    <font>
      <name val="Arial"/>
      <b val="1"/>
      <color rgb="00FFFFFF"/>
      <sz val="10"/>
    </font>
    <font>
      <name val="Arial"/>
      <b val="1"/>
      <color rgb="00C07A2D"/>
      <sz val="13"/>
    </font>
    <font>
      <name val="Arial"/>
      <i val="1"/>
      <color rgb="0064748B"/>
      <sz val="8"/>
    </font>
    <font>
      <name val="Arial"/>
      <b val="1"/>
      <color rgb="00FFFFFF"/>
      <sz val="18"/>
    </font>
    <font>
      <name val="Arial"/>
      <b val="1"/>
      <color rgb="00C07A2D"/>
      <sz val="14"/>
    </font>
    <font>
      <name val="Arial"/>
      <b val="1"/>
      <color rgb="002D3748"/>
      <sz val="9.5"/>
    </font>
    <font>
      <name val="Arial"/>
      <b val="1"/>
      <color rgb="00FFFFFF"/>
      <sz val="9"/>
    </font>
    <font>
      <name val="Arial"/>
      <b val="1"/>
      <color rgb="000D1B2A"/>
      <sz val="10"/>
    </font>
  </fonts>
  <fills count="11">
    <fill>
      <patternFill/>
    </fill>
    <fill>
      <patternFill patternType="gray125"/>
    </fill>
    <fill>
      <patternFill patternType="solid">
        <fgColor rgb="000D1B2A"/>
      </patternFill>
    </fill>
    <fill>
      <patternFill patternType="solid">
        <fgColor rgb="00C07A2D"/>
      </patternFill>
    </fill>
    <fill>
      <patternFill patternType="solid">
        <fgColor rgb="00F7F3ED"/>
      </patternFill>
    </fill>
    <fill>
      <patternFill patternType="solid">
        <fgColor rgb="00F8F9FA"/>
      </patternFill>
    </fill>
    <fill>
      <patternFill patternType="solid">
        <fgColor rgb="00FEF3C7"/>
      </patternFill>
    </fill>
    <fill>
      <patternFill patternType="solid">
        <fgColor rgb="001A3C5E"/>
      </patternFill>
    </fill>
    <fill>
      <patternFill patternType="solid">
        <fgColor rgb="00FFFFFF"/>
      </patternFill>
    </fill>
    <fill>
      <patternFill patternType="solid">
        <fgColor rgb="006B21A8"/>
      </patternFill>
    </fill>
    <fill>
      <patternFill patternType="solid">
        <fgColor rgb="001E6B4A"/>
      </patternFill>
    </fill>
  </fills>
  <borders count="4">
    <border>
      <left/>
      <right/>
      <top/>
      <bottom/>
      <diagonal/>
    </border>
    <border>
      <left style="thin">
        <color rgb="00CBD5E0"/>
      </left>
      <right style="thin">
        <color rgb="00CBD5E0"/>
      </right>
      <top style="thin">
        <color rgb="00CBD5E0"/>
      </top>
      <bottom style="medium">
        <color rgb="001A3C5E"/>
      </bottom>
    </border>
    <border>
      <left style="thin">
        <color rgb="00CBD5E0"/>
      </left>
      <right style="thin">
        <color rgb="00CBD5E0"/>
      </right>
      <top style="thin">
        <color rgb="00CBD5E0"/>
      </top>
      <bottom style="thin">
        <color rgb="00CBD5E0"/>
      </bottom>
    </border>
    <border>
      <left style="medium">
        <color rgb="000D1B2A"/>
      </left>
      <right style="medium">
        <color rgb="000D1B2A"/>
      </right>
      <top style="medium">
        <color rgb="000D1B2A"/>
      </top>
      <bottom style="medium">
        <color rgb="000D1B2A"/>
      </bottom>
    </border>
  </borders>
  <cellStyleXfs count="1">
    <xf numFmtId="0" fontId="0" fillId="0" borderId="0"/>
  </cellStyleXfs>
  <cellXfs count="49">
    <xf numFmtId="0" fontId="0" fillId="0" borderId="0" pivotButton="0" quotePrefix="0" xfId="0"/>
    <xf numFmtId="0" fontId="0" fillId="2" borderId="0" pivotButton="0" quotePrefix="0" xfId="0"/>
    <xf numFmtId="0" fontId="1" fillId="2" borderId="0" applyAlignment="1" pivotButton="0" quotePrefix="0" xfId="0">
      <alignment horizontal="left" vertical="center"/>
    </xf>
    <xf numFmtId="0" fontId="0" fillId="3" borderId="0" pivotButton="0" quotePrefix="0" xfId="0"/>
    <xf numFmtId="0" fontId="2" fillId="0" borderId="0" applyAlignment="1" pivotButton="0" quotePrefix="0" xfId="0">
      <alignment horizontal="left" vertical="center"/>
    </xf>
    <xf numFmtId="0" fontId="3" fillId="4" borderId="0" applyAlignment="1" pivotButton="0" quotePrefix="0" xfId="0">
      <alignment horizontal="left" vertical="center"/>
    </xf>
    <xf numFmtId="0" fontId="4" fillId="4" borderId="0" applyAlignment="1" pivotButton="0" quotePrefix="0" xfId="0">
      <alignment horizontal="left" vertical="center"/>
    </xf>
    <xf numFmtId="0" fontId="3" fillId="5" borderId="0" applyAlignment="1" pivotButton="0" quotePrefix="0" xfId="0">
      <alignment horizontal="left" vertical="center"/>
    </xf>
    <xf numFmtId="0" fontId="4" fillId="5" borderId="0" applyAlignment="1" pivotButton="0" quotePrefix="0" xfId="0">
      <alignment horizontal="left" vertical="center"/>
    </xf>
    <xf numFmtId="0" fontId="5" fillId="5" borderId="0" applyAlignment="1" pivotButton="0" quotePrefix="0" xfId="0">
      <alignment horizontal="left" vertical="center"/>
    </xf>
    <xf numFmtId="0" fontId="6" fillId="2" borderId="0" applyAlignment="1" pivotButton="0" quotePrefix="0" xfId="0">
      <alignment horizontal="left" vertical="center"/>
    </xf>
    <xf numFmtId="0" fontId="0" fillId="4" borderId="1" pivotButton="0" quotePrefix="0" xfId="0"/>
    <xf numFmtId="0" fontId="7" fillId="4" borderId="1" applyAlignment="1" pivotButton="0" quotePrefix="0" xfId="0">
      <alignment horizontal="center" vertical="center"/>
    </xf>
    <xf numFmtId="0" fontId="8" fillId="6" borderId="1" applyAlignment="1" pivotButton="0" quotePrefix="0" xfId="0">
      <alignment horizontal="center" vertical="center"/>
    </xf>
    <xf numFmtId="0" fontId="9" fillId="7" borderId="2" applyAlignment="1" pivotButton="0" quotePrefix="0" xfId="0">
      <alignment horizontal="center" vertical="center"/>
    </xf>
    <xf numFmtId="0" fontId="10" fillId="7" borderId="0" applyAlignment="1" pivotButton="0" quotePrefix="0" xfId="0">
      <alignment horizontal="left" vertical="center"/>
    </xf>
    <xf numFmtId="0" fontId="11" fillId="8" borderId="2" applyAlignment="1" pivotButton="0" quotePrefix="0" xfId="0">
      <alignment horizontal="center" vertical="center"/>
    </xf>
    <xf numFmtId="0" fontId="12" fillId="8" borderId="2" applyAlignment="1" pivotButton="0" quotePrefix="0" xfId="0">
      <alignment horizontal="left" vertical="center" wrapText="1"/>
    </xf>
    <xf numFmtId="0" fontId="13" fillId="8" borderId="2" applyAlignment="1" pivotButton="0" quotePrefix="0" xfId="0">
      <alignment horizontal="center" vertical="center"/>
    </xf>
    <xf numFmtId="0" fontId="3" fillId="8" borderId="2" applyAlignment="1" pivotButton="0" quotePrefix="0" xfId="0">
      <alignment horizontal="center" vertical="center"/>
    </xf>
    <xf numFmtId="0" fontId="14" fillId="8" borderId="2" applyAlignment="1" pivotButton="0" quotePrefix="0" xfId="0">
      <alignment horizontal="left" vertical="center" wrapText="1"/>
    </xf>
    <xf numFmtId="0" fontId="11" fillId="4" borderId="2" applyAlignment="1" pivotButton="0" quotePrefix="0" xfId="0">
      <alignment horizontal="center" vertical="center"/>
    </xf>
    <xf numFmtId="0" fontId="12" fillId="4" borderId="2" applyAlignment="1" pivotButton="0" quotePrefix="0" xfId="0">
      <alignment horizontal="left" vertical="center" wrapText="1"/>
    </xf>
    <xf numFmtId="0" fontId="13" fillId="4" borderId="2" applyAlignment="1" pivotButton="0" quotePrefix="0" xfId="0">
      <alignment horizontal="center" vertical="center"/>
    </xf>
    <xf numFmtId="0" fontId="3" fillId="4" borderId="2" applyAlignment="1" pivotButton="0" quotePrefix="0" xfId="0">
      <alignment horizontal="center" vertical="center"/>
    </xf>
    <xf numFmtId="0" fontId="14" fillId="4" borderId="2" applyAlignment="1" pivotButton="0" quotePrefix="0" xfId="0">
      <alignment horizontal="left" vertical="center" wrapText="1"/>
    </xf>
    <xf numFmtId="0" fontId="15" fillId="4" borderId="2" applyAlignment="1" pivotButton="0" quotePrefix="0" xfId="0">
      <alignment horizontal="left" vertical="center" wrapText="1"/>
    </xf>
    <xf numFmtId="0" fontId="15" fillId="8" borderId="2" applyAlignment="1" pivotButton="0" quotePrefix="0" xfId="0">
      <alignment horizontal="left" vertical="center" wrapText="1"/>
    </xf>
    <xf numFmtId="0" fontId="0" fillId="8" borderId="0" pivotButton="0" quotePrefix="0" xfId="0"/>
    <xf numFmtId="0" fontId="10" fillId="9" borderId="0" applyAlignment="1" pivotButton="0" quotePrefix="0" xfId="0">
      <alignment horizontal="left" vertical="center"/>
    </xf>
    <xf numFmtId="0" fontId="10" fillId="3" borderId="0" applyAlignment="1" pivotButton="0" quotePrefix="0" xfId="0">
      <alignment horizontal="left" vertical="center"/>
    </xf>
    <xf numFmtId="0" fontId="16" fillId="2" borderId="3" applyAlignment="1" pivotButton="0" quotePrefix="0" xfId="0">
      <alignment horizontal="center" vertical="center"/>
    </xf>
    <xf numFmtId="0" fontId="17" fillId="2" borderId="3" applyAlignment="1" pivotButton="0" quotePrefix="0" xfId="0">
      <alignment horizontal="center" vertical="center"/>
    </xf>
    <xf numFmtId="0" fontId="18" fillId="8" borderId="0" applyAlignment="1" pivotButton="0" quotePrefix="0" xfId="0">
      <alignment horizontal="left" vertical="center"/>
    </xf>
    <xf numFmtId="0" fontId="19" fillId="2" borderId="0" applyAlignment="1" pivotButton="0" quotePrefix="0" xfId="0">
      <alignment horizontal="left" vertical="center"/>
    </xf>
    <xf numFmtId="0" fontId="16" fillId="7" borderId="2" applyAlignment="1" pivotButton="0" quotePrefix="0" xfId="0">
      <alignment horizontal="center" vertical="center"/>
    </xf>
    <xf numFmtId="0" fontId="16" fillId="2" borderId="2" applyAlignment="1" pivotButton="0" quotePrefix="0" xfId="0">
      <alignment horizontal="left" vertical="center"/>
    </xf>
    <xf numFmtId="0" fontId="20" fillId="2" borderId="2" applyAlignment="1" pivotButton="0" quotePrefix="0" xfId="0">
      <alignment horizontal="center" vertical="center"/>
    </xf>
    <xf numFmtId="0" fontId="14" fillId="0" borderId="0" applyAlignment="1" pivotButton="0" quotePrefix="0" xfId="0">
      <alignment horizontal="left" vertical="center"/>
    </xf>
    <xf numFmtId="0" fontId="21" fillId="4" borderId="2" applyAlignment="1" pivotButton="0" quotePrefix="0" xfId="0">
      <alignment horizontal="left" vertical="center"/>
    </xf>
    <xf numFmtId="9" fontId="3" fillId="4" borderId="2" applyAlignment="1" pivotButton="0" quotePrefix="0" xfId="0">
      <alignment horizontal="center" vertical="center"/>
    </xf>
    <xf numFmtId="0" fontId="22" fillId="7" borderId="2" applyAlignment="1" pivotButton="0" quotePrefix="0" xfId="0">
      <alignment horizontal="left" vertical="center"/>
    </xf>
    <xf numFmtId="0" fontId="23" fillId="4" borderId="2" applyAlignment="1" pivotButton="0" quotePrefix="0" xfId="0">
      <alignment horizontal="center" vertical="center"/>
    </xf>
    <xf numFmtId="0" fontId="22" fillId="10" borderId="2" applyAlignment="1" pivotButton="0" quotePrefix="0" xfId="0">
      <alignment horizontal="left" vertical="center"/>
    </xf>
    <xf numFmtId="0" fontId="22" fillId="9" borderId="2" applyAlignment="1" pivotButton="0" quotePrefix="0" xfId="0">
      <alignment horizontal="left" vertical="center"/>
    </xf>
    <xf numFmtId="0" fontId="22" fillId="3" borderId="2" applyAlignment="1" pivotButton="0" quotePrefix="0" xfId="0">
      <alignment horizontal="left" vertical="center"/>
    </xf>
    <xf numFmtId="0" fontId="10" fillId="2" borderId="0" applyAlignment="1" pivotButton="0" quotePrefix="0" xfId="0">
      <alignment horizontal="left" vertical="center"/>
    </xf>
    <xf numFmtId="0" fontId="2" fillId="4" borderId="2" applyAlignment="1" pivotButton="0" quotePrefix="0" xfId="0">
      <alignment horizontal="left" vertical="top" wrapText="1"/>
    </xf>
    <xf numFmtId="0" fontId="18"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
  <sheetViews>
    <sheetView showGridLines="0" workbookViewId="0">
      <selection activeCell="A1" sqref="A1"/>
    </sheetView>
  </sheetViews>
  <sheetFormatPr baseColWidth="8" defaultRowHeight="15"/>
  <cols>
    <col width="2" customWidth="1" min="1" max="1"/>
    <col width="22" customWidth="1" min="2" max="2"/>
    <col width="72" customWidth="1" min="3" max="3"/>
    <col width="2" customWidth="1" min="4" max="4"/>
  </cols>
  <sheetData>
    <row r="1" ht="8" customHeight="1">
      <c r="A1" s="1" t="n"/>
      <c r="B1" s="1" t="n"/>
      <c r="C1" s="1" t="n"/>
      <c r="D1" s="1" t="n"/>
    </row>
    <row r="2" ht="52" customHeight="1">
      <c r="A2" s="1" t="n"/>
      <c r="B2" s="2" t="inlineStr">
        <is>
          <t>T&amp;E Vendor Evaluation Scorecard</t>
        </is>
      </c>
      <c r="D2" s="1" t="n"/>
    </row>
    <row r="3" ht="8" customHeight="1">
      <c r="A3" s="1" t="n"/>
      <c r="B3" s="1" t="n"/>
      <c r="C3" s="1" t="n"/>
      <c r="D3" s="1" t="n"/>
    </row>
    <row r="4" ht="4" customHeight="1">
      <c r="A4" s="3" t="n"/>
      <c r="B4" s="3" t="n"/>
      <c r="C4" s="3" t="n"/>
      <c r="D4" s="3" t="n"/>
    </row>
    <row r="5" ht="10" customHeight="1"/>
    <row r="6">
      <c r="B6" s="4" t="inlineStr">
        <is>
          <t>Free resource  ·  Mirela Dragulescu Consulting  ·  mdconsulting.netlify.app</t>
        </is>
      </c>
    </row>
    <row r="7" ht="14" customHeight="1"/>
    <row r="8" ht="16" customHeight="1">
      <c r="B8" s="5" t="inlineStr">
        <is>
          <t>ABOUT THIS SCORECARD</t>
        </is>
      </c>
    </row>
    <row r="9" ht="8" customHeight="1">
      <c r="B9" s="6" t="inlineStr"/>
    </row>
    <row r="10" ht="16" customHeight="1">
      <c r="B10" s="6" t="inlineStr">
        <is>
          <t>This scorecard helps finance and procurement teams evaluate T&amp;E platform vendors</t>
        </is>
      </c>
    </row>
    <row r="11" ht="16" customHeight="1">
      <c r="B11" s="6" t="inlineStr">
        <is>
          <t>consistently and objectively during the RFP and selection process.</t>
        </is>
      </c>
    </row>
    <row r="12" ht="8" customHeight="1">
      <c r="B12" s="6" t="inlineStr"/>
    </row>
    <row r="13" ht="16" customHeight="1">
      <c r="B13" s="6" t="inlineStr">
        <is>
          <t>It covers four evaluation dimensions:</t>
        </is>
      </c>
    </row>
    <row r="14" ht="16" customHeight="1">
      <c r="B14" s="6" t="inlineStr">
        <is>
          <t xml:space="preserve">   1.  Functionality &amp; Features</t>
        </is>
      </c>
    </row>
    <row r="15" ht="16" customHeight="1">
      <c r="B15" s="6" t="inlineStr">
        <is>
          <t xml:space="preserve">   2.  Implementation &amp; Support</t>
        </is>
      </c>
    </row>
    <row r="16" ht="16" customHeight="1">
      <c r="B16" s="6" t="inlineStr">
        <is>
          <t xml:space="preserve">   3.  Commercial Terms</t>
        </is>
      </c>
    </row>
    <row r="17" ht="16" customHeight="1">
      <c r="B17" s="6" t="inlineStr">
        <is>
          <t xml:space="preserve">   4.  European Compliance</t>
        </is>
      </c>
    </row>
    <row r="18" ht="8" customHeight="1">
      <c r="B18" s="6" t="inlineStr"/>
    </row>
    <row r="19" ht="16" customHeight="1">
      <c r="B19" s="6" t="inlineStr">
        <is>
          <t>This free version scores up to 3 vendors across 28 criteria.</t>
        </is>
      </c>
    </row>
    <row r="20" ht="16" customHeight="1">
      <c r="B20" s="6" t="inlineStr">
        <is>
          <t>The premium version covers 60 criteria across 6 dimensions and supports</t>
        </is>
      </c>
    </row>
    <row r="21" ht="16" customHeight="1">
      <c r="B21" s="6" t="inlineStr">
        <is>
          <t>unlimited vendors with weighted scoring and a decision dashboard.</t>
        </is>
      </c>
    </row>
    <row r="22" ht="8" customHeight="1"/>
    <row r="23" ht="16" customHeight="1">
      <c r="B23" s="7" t="inlineStr">
        <is>
          <t>HOW TO USE</t>
        </is>
      </c>
    </row>
    <row r="24" ht="8" customHeight="1">
      <c r="B24" s="8" t="inlineStr"/>
    </row>
    <row r="25" ht="16" customHeight="1">
      <c r="B25" s="8" t="inlineStr">
        <is>
          <t>Step 1 —  Enter vendor names in the yellow cells at the top of the Scorecard sheet.</t>
        </is>
      </c>
    </row>
    <row r="26" ht="16" customHeight="1">
      <c r="B26" s="8" t="inlineStr">
        <is>
          <t>Step 2 —  For each criterion, score each vendor from 0 to 5 using the dropdown.</t>
        </is>
      </c>
    </row>
    <row r="27" ht="16" customHeight="1">
      <c r="B27" s="8" t="inlineStr">
        <is>
          <t>Step 3 —  Add notes in the Notes column for any criterion where context matters.</t>
        </is>
      </c>
    </row>
    <row r="28" ht="16" customHeight="1">
      <c r="B28" s="8" t="inlineStr">
        <is>
          <t>Step 4 —  The Summary sheet calculates totals and ranks vendors automatically.</t>
        </is>
      </c>
    </row>
    <row r="29" ht="8" customHeight="1">
      <c r="B29" s="8" t="inlineStr"/>
    </row>
    <row r="30" ht="16" customHeight="1">
      <c r="B30" s="9" t="inlineStr">
        <is>
          <t>Scoring guide:</t>
        </is>
      </c>
    </row>
    <row r="31" ht="16" customHeight="1">
      <c r="B31" s="8" t="inlineStr">
        <is>
          <t xml:space="preserve">   0  =  Not offered / fails requirement</t>
        </is>
      </c>
    </row>
    <row r="32" ht="16" customHeight="1">
      <c r="B32" s="8" t="inlineStr">
        <is>
          <t xml:space="preserve">   1  =  Poor — significant gaps</t>
        </is>
      </c>
    </row>
    <row r="33" ht="16" customHeight="1">
      <c r="B33" s="8" t="inlineStr">
        <is>
          <t xml:space="preserve">   2  =  Below average — notable gaps</t>
        </is>
      </c>
    </row>
    <row r="34" ht="16" customHeight="1">
      <c r="B34" s="8" t="inlineStr">
        <is>
          <t xml:space="preserve">   3  =  Acceptable — meets minimum requirements</t>
        </is>
      </c>
    </row>
    <row r="35" ht="16" customHeight="1">
      <c r="B35" s="8" t="inlineStr">
        <is>
          <t xml:space="preserve">   4  =  Good — meets requirements with minor gaps</t>
        </is>
      </c>
    </row>
    <row r="36" ht="16" customHeight="1">
      <c r="B36" s="8" t="inlineStr">
        <is>
          <t xml:space="preserve">   5  =  Excellent — fully meets or exceeds requirements</t>
        </is>
      </c>
    </row>
    <row r="37" ht="8" customHeight="1">
      <c r="B37" s="8" t="inlineStr"/>
    </row>
    <row r="38" ht="16" customHeight="1">
      <c r="B38" s="8" t="inlineStr">
        <is>
          <t>Criteria marked with  ★  are weighted 2x in the total score.</t>
        </is>
      </c>
    </row>
  </sheetData>
  <mergeCells count="32">
    <mergeCell ref="B16:C16"/>
    <mergeCell ref="B25:C25"/>
    <mergeCell ref="B31:C31"/>
    <mergeCell ref="B18:C18"/>
    <mergeCell ref="B27:C27"/>
    <mergeCell ref="B12:C12"/>
    <mergeCell ref="B21:C21"/>
    <mergeCell ref="B2:C2"/>
    <mergeCell ref="B11:C11"/>
    <mergeCell ref="B23:C23"/>
    <mergeCell ref="B14:C14"/>
    <mergeCell ref="B17:C17"/>
    <mergeCell ref="B8:C8"/>
    <mergeCell ref="B13:C13"/>
    <mergeCell ref="B38:C38"/>
    <mergeCell ref="B29:C29"/>
    <mergeCell ref="B19:C19"/>
    <mergeCell ref="B34:C34"/>
    <mergeCell ref="B37:C37"/>
    <mergeCell ref="B10:C10"/>
    <mergeCell ref="B28:C28"/>
    <mergeCell ref="B9:C9"/>
    <mergeCell ref="B6:C6"/>
    <mergeCell ref="B24:C24"/>
    <mergeCell ref="B30:C30"/>
    <mergeCell ref="B15:C15"/>
    <mergeCell ref="B33:C33"/>
    <mergeCell ref="B20:C20"/>
    <mergeCell ref="B36:C36"/>
    <mergeCell ref="B32:C32"/>
    <mergeCell ref="B26:C26"/>
    <mergeCell ref="B35:C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8"/>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3" customWidth="1" min="1" max="1"/>
    <col width="6" customWidth="1" min="2" max="2"/>
    <col width="36" customWidth="1" min="3" max="3"/>
    <col width="3" customWidth="1" min="4" max="4"/>
    <col width="16" customWidth="1" min="5" max="5"/>
    <col width="16" customWidth="1" min="6" max="6"/>
    <col width="16" customWidth="1" min="7" max="7"/>
    <col width="40" customWidth="1" min="8" max="8"/>
    <col width="3" customWidth="1" min="9" max="9"/>
  </cols>
  <sheetData>
    <row r="1" ht="8" customHeight="1">
      <c r="A1" s="1" t="n"/>
      <c r="B1" s="1" t="n"/>
      <c r="C1" s="1" t="n"/>
      <c r="D1" s="1" t="n"/>
      <c r="E1" s="1" t="n"/>
      <c r="F1" s="1" t="n"/>
      <c r="G1" s="1" t="n"/>
      <c r="H1" s="1" t="n"/>
      <c r="I1" s="1" t="n"/>
    </row>
    <row r="2" ht="48" customHeight="1">
      <c r="A2" s="1" t="n"/>
      <c r="B2" s="10" t="inlineStr">
        <is>
          <t>T&amp;E Vendor Evaluation Scorecard</t>
        </is>
      </c>
      <c r="I2" s="1" t="n"/>
    </row>
    <row r="3" ht="4" customHeight="1">
      <c r="A3" s="3" t="n"/>
      <c r="B3" s="3" t="n"/>
      <c r="C3" s="3" t="n"/>
      <c r="D3" s="3" t="n"/>
      <c r="E3" s="3" t="n"/>
      <c r="F3" s="3" t="n"/>
      <c r="G3" s="3" t="n"/>
      <c r="H3" s="3" t="n"/>
      <c r="I3" s="3" t="n"/>
    </row>
    <row r="4" ht="8" customHeight="1">
      <c r="A4" s="1" t="n"/>
      <c r="B4" s="1" t="n"/>
      <c r="C4" s="1" t="n"/>
      <c r="D4" s="1" t="n"/>
      <c r="E4" s="1" t="n"/>
      <c r="F4" s="1" t="n"/>
      <c r="G4" s="1" t="n"/>
      <c r="H4" s="1" t="n"/>
      <c r="I4" s="1" t="n"/>
    </row>
    <row r="5" ht="28" customHeight="1">
      <c r="B5" s="11" t="n"/>
      <c r="C5" s="12" t="inlineStr">
        <is>
          <t>Criterion</t>
        </is>
      </c>
      <c r="D5" s="12" t="inlineStr">
        <is>
          <t>Wt</t>
        </is>
      </c>
      <c r="E5" s="13" t="inlineStr">
        <is>
          <t>► Enter vendor name</t>
        </is>
      </c>
      <c r="F5" s="13" t="inlineStr">
        <is>
          <t>► Enter vendor name</t>
        </is>
      </c>
      <c r="G5" s="13" t="inlineStr">
        <is>
          <t>► Enter vendor name</t>
        </is>
      </c>
      <c r="H5" s="12" t="inlineStr">
        <is>
          <t>Notes / Evidence</t>
        </is>
      </c>
    </row>
    <row r="6" ht="10" customHeight="1"/>
    <row r="7" ht="22" customHeight="1">
      <c r="B7" s="14" t="inlineStr">
        <is>
          <t>#</t>
        </is>
      </c>
      <c r="C7" s="14" t="inlineStr">
        <is>
          <t>CRITERION</t>
        </is>
      </c>
      <c r="D7" s="14" t="inlineStr">
        <is>
          <t>WT</t>
        </is>
      </c>
      <c r="E7" s="14" t="inlineStr">
        <is>
          <t>SCORE  (0–5)</t>
        </is>
      </c>
      <c r="F7" s="14" t="inlineStr">
        <is>
          <t>SCORE  (0–5)</t>
        </is>
      </c>
      <c r="G7" s="14" t="inlineStr">
        <is>
          <t>SCORE  (0–5)</t>
        </is>
      </c>
      <c r="H7" s="14" t="inlineStr">
        <is>
          <t>NOTES</t>
        </is>
      </c>
    </row>
    <row r="8" ht="20" customHeight="1">
      <c r="B8" s="15" t="inlineStr">
        <is>
          <t>1. FUNCTIONALITY &amp; FEATURES</t>
        </is>
      </c>
    </row>
    <row r="9" ht="22" customHeight="1">
      <c r="B9" s="16" t="inlineStr">
        <is>
          <t>1.1</t>
        </is>
      </c>
      <c r="C9" s="17" t="inlineStr">
        <is>
          <t>Expense submission via mobile app (iOS &amp; Android)  ★</t>
        </is>
      </c>
      <c r="D9" s="18" t="inlineStr">
        <is>
          <t>2x</t>
        </is>
      </c>
      <c r="E9" s="19" t="n"/>
      <c r="F9" s="19" t="n"/>
      <c r="G9" s="19" t="n"/>
      <c r="H9" s="20" t="inlineStr"/>
    </row>
    <row r="10" ht="22" customHeight="1">
      <c r="B10" s="21" t="inlineStr">
        <is>
          <t>1.2</t>
        </is>
      </c>
      <c r="C10" s="22" t="inlineStr">
        <is>
          <t>Receipt capture via OCR / photo scan  ★</t>
        </is>
      </c>
      <c r="D10" s="23" t="inlineStr">
        <is>
          <t>2x</t>
        </is>
      </c>
      <c r="E10" s="24" t="n"/>
      <c r="F10" s="24" t="n"/>
      <c r="G10" s="24" t="n"/>
      <c r="H10" s="25" t="inlineStr"/>
    </row>
    <row r="11" ht="22" customHeight="1">
      <c r="B11" s="16" t="inlineStr">
        <is>
          <t>1.3</t>
        </is>
      </c>
      <c r="C11" s="17" t="inlineStr">
        <is>
          <t>Multi-currency support and automatic exchange rate updates  ★</t>
        </is>
      </c>
      <c r="D11" s="18" t="inlineStr">
        <is>
          <t>2x</t>
        </is>
      </c>
      <c r="E11" s="19" t="n"/>
      <c r="F11" s="19" t="n"/>
      <c r="G11" s="19" t="n"/>
      <c r="H11" s="20" t="inlineStr"/>
    </row>
    <row r="12" ht="22" customHeight="1">
      <c r="B12" s="21" t="inlineStr">
        <is>
          <t>1.4</t>
        </is>
      </c>
      <c r="C12" s="22" t="inlineStr">
        <is>
          <t>Automated policy checking and out-of-policy flagging  ★</t>
        </is>
      </c>
      <c r="D12" s="23" t="inlineStr">
        <is>
          <t>2x</t>
        </is>
      </c>
      <c r="E12" s="24" t="n"/>
      <c r="F12" s="24" t="n"/>
      <c r="G12" s="24" t="n"/>
      <c r="H12" s="25" t="inlineStr"/>
    </row>
    <row r="13" ht="22" customHeight="1">
      <c r="B13" s="16" t="inlineStr">
        <is>
          <t>1.5</t>
        </is>
      </c>
      <c r="C13" s="17" t="inlineStr">
        <is>
          <t>Configurable approval workflows (multi-level, by amount, by entity)  ★</t>
        </is>
      </c>
      <c r="D13" s="18" t="inlineStr">
        <is>
          <t>2x</t>
        </is>
      </c>
      <c r="E13" s="19" t="n"/>
      <c r="F13" s="19" t="n"/>
      <c r="G13" s="19" t="n"/>
      <c r="H13" s="20" t="inlineStr"/>
    </row>
    <row r="14" ht="22" customHeight="1">
      <c r="B14" s="21" t="inlineStr">
        <is>
          <t>1.6</t>
        </is>
      </c>
      <c r="C14" s="26" t="inlineStr">
        <is>
          <t>Corporate card integration and automatic transaction import</t>
        </is>
      </c>
      <c r="D14" s="21" t="inlineStr">
        <is>
          <t>1x</t>
        </is>
      </c>
      <c r="E14" s="24" t="n"/>
      <c r="F14" s="24" t="n"/>
      <c r="G14" s="24" t="n"/>
      <c r="H14" s="25" t="inlineStr"/>
    </row>
    <row r="15" ht="22" customHeight="1">
      <c r="B15" s="16" t="inlineStr">
        <is>
          <t>1.7</t>
        </is>
      </c>
      <c r="C15" s="27" t="inlineStr">
        <is>
          <t>Per diem and mileage calculation engine</t>
        </is>
      </c>
      <c r="D15" s="16" t="inlineStr">
        <is>
          <t>1x</t>
        </is>
      </c>
      <c r="E15" s="19" t="n"/>
      <c r="F15" s="19" t="n"/>
      <c r="G15" s="19" t="n"/>
      <c r="H15" s="20" t="inlineStr"/>
    </row>
    <row r="16" ht="22" customHeight="1">
      <c r="B16" s="21" t="inlineStr">
        <is>
          <t>1.8</t>
        </is>
      </c>
      <c r="C16" s="26" t="inlineStr">
        <is>
          <t>Offline mode for expense submission without connectivity</t>
        </is>
      </c>
      <c r="D16" s="21" t="inlineStr">
        <is>
          <t>1x</t>
        </is>
      </c>
      <c r="E16" s="24" t="n"/>
      <c r="F16" s="24" t="n"/>
      <c r="G16" s="24" t="n"/>
      <c r="H16" s="25" t="inlineStr"/>
    </row>
    <row r="17" ht="22" customHeight="1">
      <c r="B17" s="16" t="inlineStr">
        <is>
          <t>1.9</t>
        </is>
      </c>
      <c r="C17" s="27" t="inlineStr">
        <is>
          <t>Reporting and analytics dashboard (spend by category, entity, user)</t>
        </is>
      </c>
      <c r="D17" s="16" t="inlineStr">
        <is>
          <t>1x</t>
        </is>
      </c>
      <c r="E17" s="19" t="n"/>
      <c r="F17" s="19" t="n"/>
      <c r="G17" s="19" t="n"/>
      <c r="H17" s="20" t="inlineStr"/>
    </row>
    <row r="18" ht="22" customHeight="1">
      <c r="B18" s="21" t="inlineStr">
        <is>
          <t>1.10</t>
        </is>
      </c>
      <c r="C18" s="26" t="inlineStr">
        <is>
          <t>Bulk approval and finance review workflows</t>
        </is>
      </c>
      <c r="D18" s="21" t="inlineStr">
        <is>
          <t>1x</t>
        </is>
      </c>
      <c r="E18" s="24" t="n"/>
      <c r="F18" s="24" t="n"/>
      <c r="G18" s="24" t="n"/>
      <c r="H18" s="25" t="inlineStr"/>
    </row>
    <row r="19" ht="6" customHeight="1">
      <c r="B19" s="28" t="n"/>
      <c r="C19" s="28" t="n"/>
      <c r="D19" s="28" t="n"/>
      <c r="E19" s="28" t="n"/>
      <c r="F19" s="28" t="n"/>
      <c r="G19" s="28" t="n"/>
      <c r="H19" s="28" t="n"/>
      <c r="I19" s="28" t="n"/>
    </row>
    <row r="20" ht="20" customHeight="1">
      <c r="B20" s="15" t="inlineStr">
        <is>
          <t>2. IMPLEMENTATION &amp; SUPPORT</t>
        </is>
      </c>
    </row>
    <row r="21" ht="22" customHeight="1">
      <c r="B21" s="16" t="inlineStr">
        <is>
          <t>2.1</t>
        </is>
      </c>
      <c r="C21" s="17" t="inlineStr">
        <is>
          <t>Dedicated implementation consultant assigned to the project  ★</t>
        </is>
      </c>
      <c r="D21" s="18" t="inlineStr">
        <is>
          <t>2x</t>
        </is>
      </c>
      <c r="E21" s="19" t="n"/>
      <c r="F21" s="19" t="n"/>
      <c r="G21" s="19" t="n"/>
      <c r="H21" s="20" t="inlineStr"/>
    </row>
    <row r="22" ht="22" customHeight="1">
      <c r="B22" s="21" t="inlineStr">
        <is>
          <t>2.2</t>
        </is>
      </c>
      <c r="C22" s="22" t="inlineStr">
        <is>
          <t>Structured implementation methodology with defined phases  ★</t>
        </is>
      </c>
      <c r="D22" s="23" t="inlineStr">
        <is>
          <t>2x</t>
        </is>
      </c>
      <c r="E22" s="24" t="n"/>
      <c r="F22" s="24" t="n"/>
      <c r="G22" s="24" t="n"/>
      <c r="H22" s="25" t="inlineStr"/>
    </row>
    <row r="23" ht="22" customHeight="1">
      <c r="B23" s="16" t="inlineStr">
        <is>
          <t>2.3</t>
        </is>
      </c>
      <c r="C23" s="17" t="inlineStr">
        <is>
          <t>Data migration support (historical expenses, cost centres, users)  ★</t>
        </is>
      </c>
      <c r="D23" s="18" t="inlineStr">
        <is>
          <t>2x</t>
        </is>
      </c>
      <c r="E23" s="19" t="n"/>
      <c r="F23" s="19" t="n"/>
      <c r="G23" s="19" t="n"/>
      <c r="H23" s="20" t="inlineStr"/>
    </row>
    <row r="24" ht="22" customHeight="1">
      <c r="B24" s="21" t="inlineStr">
        <is>
          <t>2.4</t>
        </is>
      </c>
      <c r="C24" s="22" t="inlineStr">
        <is>
          <t>Training materials available in all required languages  ★</t>
        </is>
      </c>
      <c r="D24" s="23" t="inlineStr">
        <is>
          <t>2x</t>
        </is>
      </c>
      <c r="E24" s="24" t="n"/>
      <c r="F24" s="24" t="n"/>
      <c r="G24" s="24" t="n"/>
      <c r="H24" s="25" t="inlineStr"/>
    </row>
    <row r="25" ht="22" customHeight="1">
      <c r="B25" s="16" t="inlineStr">
        <is>
          <t>2.5</t>
        </is>
      </c>
      <c r="C25" s="27" t="inlineStr">
        <is>
          <t>Sandbox / test environment provided during implementation</t>
        </is>
      </c>
      <c r="D25" s="16" t="inlineStr">
        <is>
          <t>1x</t>
        </is>
      </c>
      <c r="E25" s="19" t="n"/>
      <c r="F25" s="19" t="n"/>
      <c r="G25" s="19" t="n"/>
      <c r="H25" s="20" t="inlineStr"/>
    </row>
    <row r="26" ht="22" customHeight="1">
      <c r="B26" s="21" t="inlineStr">
        <is>
          <t>2.6</t>
        </is>
      </c>
      <c r="C26" s="26" t="inlineStr">
        <is>
          <t>Post-go-live hypercare period (minimum 4 weeks)</t>
        </is>
      </c>
      <c r="D26" s="21" t="inlineStr">
        <is>
          <t>1x</t>
        </is>
      </c>
      <c r="E26" s="24" t="n"/>
      <c r="F26" s="24" t="n"/>
      <c r="G26" s="24" t="n"/>
      <c r="H26" s="25" t="inlineStr"/>
    </row>
    <row r="27" ht="22" customHeight="1">
      <c r="B27" s="16" t="inlineStr">
        <is>
          <t>2.7</t>
        </is>
      </c>
      <c r="C27" s="27" t="inlineStr">
        <is>
          <t>SLA for critical incident response (target: &lt; 4 hours)</t>
        </is>
      </c>
      <c r="D27" s="16" t="inlineStr">
        <is>
          <t>1x</t>
        </is>
      </c>
      <c r="E27" s="19" t="n"/>
      <c r="F27" s="19" t="n"/>
      <c r="G27" s="19" t="n"/>
      <c r="H27" s="20" t="inlineStr"/>
    </row>
    <row r="28" ht="6" customHeight="1">
      <c r="B28" s="28" t="n"/>
      <c r="C28" s="28" t="n"/>
      <c r="D28" s="28" t="n"/>
      <c r="E28" s="28" t="n"/>
      <c r="F28" s="28" t="n"/>
      <c r="G28" s="28" t="n"/>
      <c r="H28" s="28" t="n"/>
      <c r="I28" s="28" t="n"/>
    </row>
    <row r="29" ht="20" customHeight="1">
      <c r="B29" s="29" t="inlineStr">
        <is>
          <t>3. COMMERCIAL TERMS</t>
        </is>
      </c>
    </row>
    <row r="30" ht="22" customHeight="1">
      <c r="B30" s="21" t="inlineStr">
        <is>
          <t>3.1</t>
        </is>
      </c>
      <c r="C30" s="22" t="inlineStr">
        <is>
          <t>Pricing model is transparent and per-user (not per-transaction)  ★</t>
        </is>
      </c>
      <c r="D30" s="23" t="inlineStr">
        <is>
          <t>2x</t>
        </is>
      </c>
      <c r="E30" s="24" t="n"/>
      <c r="F30" s="24" t="n"/>
      <c r="G30" s="24" t="n"/>
      <c r="H30" s="25" t="inlineStr"/>
    </row>
    <row r="31" ht="22" customHeight="1">
      <c r="B31" s="16" t="inlineStr">
        <is>
          <t>3.2</t>
        </is>
      </c>
      <c r="C31" s="17" t="inlineStr">
        <is>
          <t>Contract terms allow for entity / country additions without renegotiation  ★</t>
        </is>
      </c>
      <c r="D31" s="18" t="inlineStr">
        <is>
          <t>2x</t>
        </is>
      </c>
      <c r="E31" s="19" t="n"/>
      <c r="F31" s="19" t="n"/>
      <c r="G31" s="19" t="n"/>
      <c r="H31" s="20" t="inlineStr"/>
    </row>
    <row r="32" ht="22" customHeight="1">
      <c r="B32" s="21" t="inlineStr">
        <is>
          <t>3.3</t>
        </is>
      </c>
      <c r="C32" s="22" t="inlineStr">
        <is>
          <t>Exit clause — data export and transition support included  ★</t>
        </is>
      </c>
      <c r="D32" s="23" t="inlineStr">
        <is>
          <t>2x</t>
        </is>
      </c>
      <c r="E32" s="24" t="n"/>
      <c r="F32" s="24" t="n"/>
      <c r="G32" s="24" t="n"/>
      <c r="H32" s="25" t="inlineStr"/>
    </row>
    <row r="33" ht="22" customHeight="1">
      <c r="B33" s="16" t="inlineStr">
        <is>
          <t>3.4</t>
        </is>
      </c>
      <c r="C33" s="27" t="inlineStr">
        <is>
          <t>No hidden implementation or setup fees beyond quoted price</t>
        </is>
      </c>
      <c r="D33" s="16" t="inlineStr">
        <is>
          <t>1x</t>
        </is>
      </c>
      <c r="E33" s="19" t="n"/>
      <c r="F33" s="19" t="n"/>
      <c r="G33" s="19" t="n"/>
      <c r="H33" s="20" t="inlineStr"/>
    </row>
    <row r="34" ht="22" customHeight="1">
      <c r="B34" s="21" t="inlineStr">
        <is>
          <t>3.5</t>
        </is>
      </c>
      <c r="C34" s="26" t="inlineStr">
        <is>
          <t>References available from comparable European programmes</t>
        </is>
      </c>
      <c r="D34" s="21" t="inlineStr">
        <is>
          <t>1x</t>
        </is>
      </c>
      <c r="E34" s="24" t="n"/>
      <c r="F34" s="24" t="n"/>
      <c r="G34" s="24" t="n"/>
      <c r="H34" s="25" t="inlineStr"/>
    </row>
    <row r="35" ht="22" customHeight="1">
      <c r="B35" s="16" t="inlineStr">
        <is>
          <t>3.6</t>
        </is>
      </c>
      <c r="C35" s="27" t="inlineStr">
        <is>
          <t>Vendor financial stability — established &gt; 5 years, funded, or profitable</t>
        </is>
      </c>
      <c r="D35" s="16" t="inlineStr">
        <is>
          <t>1x</t>
        </is>
      </c>
      <c r="E35" s="19" t="n"/>
      <c r="F35" s="19" t="n"/>
      <c r="G35" s="19" t="n"/>
      <c r="H35" s="20" t="inlineStr"/>
    </row>
    <row r="36" ht="6" customHeight="1">
      <c r="B36" s="28" t="n"/>
      <c r="C36" s="28" t="n"/>
      <c r="D36" s="28" t="n"/>
      <c r="E36" s="28" t="n"/>
      <c r="F36" s="28" t="n"/>
      <c r="G36" s="28" t="n"/>
      <c r="H36" s="28" t="n"/>
      <c r="I36" s="28" t="n"/>
    </row>
    <row r="37" ht="20" customHeight="1">
      <c r="B37" s="30" t="inlineStr">
        <is>
          <t>4. EUROPEAN COMPLIANCE</t>
        </is>
      </c>
    </row>
    <row r="38" ht="22" customHeight="1">
      <c r="B38" s="21" t="inlineStr">
        <is>
          <t>4.1</t>
        </is>
      </c>
      <c r="C38" s="22" t="inlineStr">
        <is>
          <t>GDPR compliance — data processed within EU / EEA by default  ★</t>
        </is>
      </c>
      <c r="D38" s="23" t="inlineStr">
        <is>
          <t>2x</t>
        </is>
      </c>
      <c r="E38" s="24" t="n"/>
      <c r="F38" s="24" t="n"/>
      <c r="G38" s="24" t="n"/>
      <c r="H38" s="25" t="inlineStr"/>
    </row>
    <row r="39" ht="22" customHeight="1">
      <c r="B39" s="16" t="inlineStr">
        <is>
          <t>4.2</t>
        </is>
      </c>
      <c r="C39" s="17" t="inlineStr">
        <is>
          <t>German receipt and expense documentation requirements (GoBD)  ★</t>
        </is>
      </c>
      <c r="D39" s="18" t="inlineStr">
        <is>
          <t>2x</t>
        </is>
      </c>
      <c r="E39" s="19" t="n"/>
      <c r="F39" s="19" t="n"/>
      <c r="G39" s="19" t="n"/>
      <c r="H39" s="20" t="inlineStr"/>
    </row>
    <row r="40" ht="22" customHeight="1">
      <c r="B40" s="21" t="inlineStr">
        <is>
          <t>4.3</t>
        </is>
      </c>
      <c r="C40" s="22" t="inlineStr">
        <is>
          <t>French per diem rules (URSSAF rates, domestic vs international)  ★</t>
        </is>
      </c>
      <c r="D40" s="23" t="inlineStr">
        <is>
          <t>2x</t>
        </is>
      </c>
      <c r="E40" s="24" t="n"/>
      <c r="F40" s="24" t="n"/>
      <c r="G40" s="24" t="n"/>
      <c r="H40" s="25" t="inlineStr"/>
    </row>
    <row r="41" ht="22" customHeight="1">
      <c r="B41" s="16" t="inlineStr">
        <is>
          <t>4.4</t>
        </is>
      </c>
      <c r="C41" s="17" t="inlineStr">
        <is>
          <t>Spanish IVA / VAT reporting and deductibility classification  ★</t>
        </is>
      </c>
      <c r="D41" s="18" t="inlineStr">
        <is>
          <t>2x</t>
        </is>
      </c>
      <c r="E41" s="19" t="n"/>
      <c r="F41" s="19" t="n"/>
      <c r="G41" s="19" t="n"/>
      <c r="H41" s="20" t="inlineStr"/>
    </row>
    <row r="42" ht="22" customHeight="1">
      <c r="B42" s="21" t="inlineStr">
        <is>
          <t>4.5</t>
        </is>
      </c>
      <c r="C42" s="26" t="inlineStr">
        <is>
          <t>Dutch representation expense and 80% rule support</t>
        </is>
      </c>
      <c r="D42" s="21" t="inlineStr">
        <is>
          <t>1x</t>
        </is>
      </c>
      <c r="E42" s="24" t="n"/>
      <c r="F42" s="24" t="n"/>
      <c r="G42" s="24" t="n"/>
      <c r="H42" s="25" t="inlineStr"/>
    </row>
    <row r="43" ht="22" customHeight="1">
      <c r="B43" s="16" t="inlineStr">
        <is>
          <t>4.6</t>
        </is>
      </c>
      <c r="C43" s="27" t="inlineStr">
        <is>
          <t>Works council / CSE information requirements for France</t>
        </is>
      </c>
      <c r="D43" s="16" t="inlineStr">
        <is>
          <t>1x</t>
        </is>
      </c>
      <c r="E43" s="19" t="n"/>
      <c r="F43" s="19" t="n"/>
      <c r="G43" s="19" t="n"/>
      <c r="H43" s="20" t="inlineStr"/>
    </row>
    <row r="44" ht="22" customHeight="1">
      <c r="B44" s="21" t="inlineStr">
        <is>
          <t>4.7</t>
        </is>
      </c>
      <c r="C44" s="26" t="inlineStr">
        <is>
          <t>Country-specific audit trail and archiving requirements</t>
        </is>
      </c>
      <c r="D44" s="21" t="inlineStr">
        <is>
          <t>1x</t>
        </is>
      </c>
      <c r="E44" s="24" t="n"/>
      <c r="F44" s="24" t="n"/>
      <c r="G44" s="24" t="n"/>
      <c r="H44" s="25" t="inlineStr"/>
    </row>
    <row r="45" ht="22" customHeight="1">
      <c r="B45" s="16" t="inlineStr">
        <is>
          <t>4.8</t>
        </is>
      </c>
      <c r="C45" s="27" t="inlineStr">
        <is>
          <t>VAT reclaim support for business travel expenses (EU-wide)</t>
        </is>
      </c>
      <c r="D45" s="16" t="inlineStr">
        <is>
          <t>1x</t>
        </is>
      </c>
      <c r="E45" s="19" t="n"/>
      <c r="F45" s="19" t="n"/>
      <c r="G45" s="19" t="n"/>
      <c r="H45" s="20" t="inlineStr"/>
    </row>
    <row r="46" ht="6" customHeight="1">
      <c r="B46" s="28" t="n"/>
      <c r="C46" s="28" t="n"/>
      <c r="D46" s="28" t="n"/>
      <c r="E46" s="28" t="n"/>
      <c r="F46" s="28" t="n"/>
      <c r="G46" s="28" t="n"/>
      <c r="H46" s="28" t="n"/>
      <c r="I46" s="28" t="n"/>
    </row>
    <row r="47" ht="26" customHeight="1">
      <c r="B47" s="31" t="n"/>
      <c r="C47" s="31" t="inlineStr">
        <is>
          <t>TOTAL WEIGHTED SCORE</t>
        </is>
      </c>
      <c r="D47" s="31" t="n"/>
      <c r="E47" s="32">
        <f>IFERROR(SUMPRODUCT((D8:D45="2x")*ISNUMBER(E8:E45)*IF(ISNUMBER(E8:E45),E8:E45,0)*2)+SUMPRODUCT((D8:D45="1x")*ISNUMBER(E8:E45)*IF(ISNUMBER(E8:E45),E8:E45,0),"")</f>
        <v/>
      </c>
      <c r="F47" s="32">
        <f>IFERROR(SUMPRODUCT((D8:D45="2x")*ISNUMBER(F8:F45)*IF(ISNUMBER(F8:F45),F8:F45,0)*2)+SUMPRODUCT((D8:D45="1x")*ISNUMBER(F8:F45)*IF(ISNUMBER(F8:F45),F8:F45,0),"")</f>
        <v/>
      </c>
      <c r="G47" s="32">
        <f>IFERROR(SUMPRODUCT((D8:D45="2x")*ISNUMBER(G8:G45)*IF(ISNUMBER(G8:G45),G8:G45,0)*2)+SUMPRODUCT((D8:D45="1x")*ISNUMBER(G8:G45)*IF(ISNUMBER(G8:G45),G8:G45,0),"")</f>
        <v/>
      </c>
      <c r="H47" s="31" t="n"/>
    </row>
    <row r="48" ht="16" customHeight="1">
      <c r="B48" s="28" t="n"/>
      <c r="C48" s="33" t="inlineStr">
        <is>
          <t>Maximum possible score: 235  (weighted criteria count 2x)</t>
        </is>
      </c>
    </row>
  </sheetData>
  <mergeCells count="6">
    <mergeCell ref="B8:H8"/>
    <mergeCell ref="B2:H2"/>
    <mergeCell ref="B29:H29"/>
    <mergeCell ref="C48:H48"/>
    <mergeCell ref="B20:H20"/>
    <mergeCell ref="B37:H37"/>
  </mergeCells>
  <conditionalFormatting sqref="E8:G45">
    <cfRule type="colorScale" priority="1">
      <colorScale>
        <cfvo type="num" val="0"/>
        <cfvo type="num" val="3"/>
        <cfvo type="num" val="5"/>
        <color rgb="00FEE2E2"/>
        <color rgb="00FEF3C7"/>
        <color rgb="00D1FAE5"/>
      </colorScale>
    </cfRule>
  </conditionalFormatting>
  <dataValidations count="1">
    <dataValidation sqref="E9 E10 E11 E12 E13 E14 E15 E16 E17 E18 E21 E22 E23 E24 E25 E26 E27 E30 E31 E32 E33 E34 E35 E38 E39 E40 E41 E42 E43 E44 E45 F9 F10 F11 F12 F13 F14 F15 F16 F17 F18 F21 F22 F23 F24 F25 F26 F27 F30 F31 F32 F33 F34 F35 F38 F39 F40 F41 F42 F43 F44 F45 G9 G10 G11 G12 G13 G14 G15 G16 G17 G18 G21 G22 G23 G24 G25 G26 G27 G30 G31 G32 G33 G34 G35 G38 G39 G40 G41 G42 G43 G44 G45" showDropDown="0" showInputMessage="0" showErrorMessage="0" allowBlank="1" errorTitle="Invalid score" error="Please enter a score between 0 and 5" type="list">
      <formula1>"0,1,2,3,4,5"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showGridLines="0" workbookViewId="0">
      <selection activeCell="A1" sqref="A1"/>
    </sheetView>
  </sheetViews>
  <sheetFormatPr baseColWidth="8" defaultRowHeight="15"/>
  <cols>
    <col width="3" customWidth="1" min="1" max="1"/>
    <col width="28" customWidth="1" min="2" max="2"/>
    <col width="20" customWidth="1" min="3" max="3"/>
    <col width="20" customWidth="1" min="4" max="4"/>
    <col width="20" customWidth="1" min="5" max="5"/>
    <col width="3" customWidth="1" min="6" max="6"/>
  </cols>
  <sheetData>
    <row r="1" ht="8" customHeight="1">
      <c r="A1" s="1" t="n"/>
      <c r="B1" s="1" t="n"/>
      <c r="C1" s="1" t="n"/>
      <c r="D1" s="1" t="n"/>
      <c r="E1" s="1" t="n"/>
      <c r="F1" s="1" t="n"/>
    </row>
    <row r="2" ht="44" customHeight="1">
      <c r="A2" s="1" t="n"/>
      <c r="B2" s="34" t="inlineStr">
        <is>
          <t>Vendor Evaluation — Summary</t>
        </is>
      </c>
      <c r="F2" s="1" t="n"/>
    </row>
    <row r="3" ht="4" customHeight="1">
      <c r="A3" s="3" t="n"/>
      <c r="B3" s="3" t="n"/>
      <c r="C3" s="3" t="n"/>
      <c r="D3" s="3" t="n"/>
      <c r="E3" s="3" t="n"/>
      <c r="F3" s="3" t="n"/>
    </row>
    <row r="4" ht="8" customHeight="1">
      <c r="A4" s="1" t="n"/>
      <c r="B4" s="1" t="n"/>
      <c r="C4" s="1" t="n"/>
      <c r="D4" s="1" t="n"/>
      <c r="E4" s="1" t="n"/>
      <c r="F4" s="1" t="n"/>
    </row>
    <row r="5" ht="26" customHeight="1">
      <c r="B5" s="35" t="inlineStr">
        <is>
          <t>VENDOR</t>
        </is>
      </c>
      <c r="C5" s="35">
        <f>IF(Scorecard!E5="► Enter vendor name","Vendor 1",Scorecard!E5)</f>
        <v/>
      </c>
      <c r="D5" s="35">
        <f>IF(Scorecard!F5="► Enter vendor name","Vendor 2",Scorecard!F5)</f>
        <v/>
      </c>
      <c r="E5" s="35">
        <f>IF(Scorecard!G5="► Enter vendor name","Vendor 3",Scorecard!G5)</f>
        <v/>
      </c>
    </row>
    <row r="6" ht="8" customHeight="1"/>
    <row r="7" ht="32" customHeight="1">
      <c r="B7" s="36" t="inlineStr">
        <is>
          <t>TOTAL WEIGHTED SCORE</t>
        </is>
      </c>
      <c r="C7" s="37">
        <f>Scorecard!E47</f>
        <v/>
      </c>
      <c r="D7" s="37">
        <f>Scorecard!F47</f>
        <v/>
      </c>
      <c r="E7" s="37">
        <f>Scorecard!G47</f>
        <v/>
      </c>
    </row>
    <row r="8" ht="16" customHeight="1">
      <c r="B8" s="38" t="inlineStr">
        <is>
          <t>Maximum possible score: 235  ·  Weighted criteria (★) count double</t>
        </is>
      </c>
    </row>
    <row r="9" ht="10" customHeight="1"/>
    <row r="10" ht="24" customHeight="1">
      <c r="B10" s="39" t="inlineStr">
        <is>
          <t>Score as % of maximum</t>
        </is>
      </c>
      <c r="C10" s="40">
        <f>IFERROR(C7/235,"-")</f>
        <v/>
      </c>
      <c r="D10" s="40">
        <f>IFERROR(D7/235,"-")</f>
        <v/>
      </c>
      <c r="E10" s="40">
        <f>IFERROR(E7/235,"-")</f>
        <v/>
      </c>
    </row>
    <row r="11" ht="10" customHeight="1"/>
    <row r="12" ht="24" customHeight="1">
      <c r="B12" s="39" t="inlineStr">
        <is>
          <t>Rank</t>
        </is>
      </c>
      <c r="C12" s="24">
        <f>IFERROR(RANK(C7,C7:E7,0),"-")</f>
        <v/>
      </c>
      <c r="D12" s="24">
        <f>IFERROR(RANK(D7,C7:E7,0),"-")</f>
        <v/>
      </c>
      <c r="E12" s="24">
        <f>IFERROR(RANK(E7,C7:E7,0),"-")</f>
        <v/>
      </c>
    </row>
    <row r="13" ht="14" customHeight="1"/>
    <row r="14" ht="20" customHeight="1">
      <c r="B14" s="15" t="inlineStr">
        <is>
          <t>SCORE BY SECTION</t>
        </is>
      </c>
    </row>
    <row r="15" ht="22" customHeight="1">
      <c r="B15" s="41" t="inlineStr">
        <is>
          <t>1. Functionality &amp; Features</t>
        </is>
      </c>
      <c r="C15" s="42">
        <f>IFERROR(SUMPRODUCT((Scorecard!D9:D18="2x")*ISNUMBER(Scorecard!E9:Scorecard!E18)*IF(ISNUMBER(Scorecard!E9:Scorecard!E18),Scorecard!E9:Scorecard!E18,0)*2)+SUMPRODUCT((Scorecard!D9:D18="1x")*ISNUMBER(Scorecard!E9:Scorecard!E18)*IF(ISNUMBER(Scorecard!E9:Scorecard!E18),Scorecard!E9:Scorecard!E18,0))&amp;" / 75","-")</f>
        <v/>
      </c>
      <c r="D15" s="42">
        <f>IFERROR(SUMPRODUCT((Scorecard!D9:D18="2x")*ISNUMBER(Scorecard!F9:Scorecard!F18)*IF(ISNUMBER(Scorecard!F9:Scorecard!F18),Scorecard!F9:Scorecard!F18,0)*2)+SUMPRODUCT((Scorecard!D9:D18="1x")*ISNUMBER(Scorecard!F9:Scorecard!F18)*IF(ISNUMBER(Scorecard!F9:Scorecard!F18),Scorecard!F9:Scorecard!F18,0))&amp;" / 75","-")</f>
        <v/>
      </c>
      <c r="E15" s="42">
        <f>IFERROR(SUMPRODUCT((Scorecard!D9:D18="2x")*ISNUMBER(Scorecard!G9:Scorecard!G18)*IF(ISNUMBER(Scorecard!G9:Scorecard!G18),Scorecard!G9:Scorecard!G18,0)*2)+SUMPRODUCT((Scorecard!D9:D18="1x")*ISNUMBER(Scorecard!G9:Scorecard!G18)*IF(ISNUMBER(Scorecard!G9:Scorecard!G18),Scorecard!G9:Scorecard!G18,0))&amp;" / 75","-")</f>
        <v/>
      </c>
    </row>
    <row r="16" ht="22" customHeight="1">
      <c r="B16" s="43" t="inlineStr">
        <is>
          <t>2. Implementation &amp; Support</t>
        </is>
      </c>
      <c r="C16" s="42">
        <f>IFERROR(SUMPRODUCT((Scorecard!D21:D27="2x")*ISNUMBER(Scorecard!E21:Scorecard!E27)*IF(ISNUMBER(Scorecard!E21:Scorecard!E27),Scorecard!E21:Scorecard!E27,0)*2)+SUMPRODUCT((Scorecard!D21:D27="1x")*ISNUMBER(Scorecard!E21:Scorecard!E27)*IF(ISNUMBER(Scorecard!E21:Scorecard!E27),Scorecard!E21:Scorecard!E27,0))&amp;" / 55","-")</f>
        <v/>
      </c>
      <c r="D16" s="42">
        <f>IFERROR(SUMPRODUCT((Scorecard!D21:D27="2x")*ISNUMBER(Scorecard!F21:Scorecard!F27)*IF(ISNUMBER(Scorecard!F21:Scorecard!F27),Scorecard!F21:Scorecard!F27,0)*2)+SUMPRODUCT((Scorecard!D21:D27="1x")*ISNUMBER(Scorecard!F21:Scorecard!F27)*IF(ISNUMBER(Scorecard!F21:Scorecard!F27),Scorecard!F21:Scorecard!F27,0))&amp;" / 55","-")</f>
        <v/>
      </c>
      <c r="E16" s="42">
        <f>IFERROR(SUMPRODUCT((Scorecard!D21:D27="2x")*ISNUMBER(Scorecard!G21:Scorecard!G27)*IF(ISNUMBER(Scorecard!G21:Scorecard!G27),Scorecard!G21:Scorecard!G27,0)*2)+SUMPRODUCT((Scorecard!D21:D27="1x")*ISNUMBER(Scorecard!G21:Scorecard!G27)*IF(ISNUMBER(Scorecard!G21:Scorecard!G27),Scorecard!G21:Scorecard!G27,0))&amp;" / 55","-")</f>
        <v/>
      </c>
    </row>
    <row r="17" ht="22" customHeight="1">
      <c r="B17" s="44" t="inlineStr">
        <is>
          <t>3. Commercial Terms</t>
        </is>
      </c>
      <c r="C17" s="42">
        <f>IFERROR(SUMPRODUCT((Scorecard!D30:D35="2x")*ISNUMBER(Scorecard!E30:Scorecard!E35)*IF(ISNUMBER(Scorecard!E30:Scorecard!E35),Scorecard!E30:Scorecard!E35,0)*2)+SUMPRODUCT((Scorecard!D30:D35="1x")*ISNUMBER(Scorecard!E30:Scorecard!E35)*IF(ISNUMBER(Scorecard!E30:Scorecard!E35),Scorecard!E30:Scorecard!E35,0))&amp;" / 45","-")</f>
        <v/>
      </c>
      <c r="D17" s="42">
        <f>IFERROR(SUMPRODUCT((Scorecard!D30:D35="2x")*ISNUMBER(Scorecard!F30:Scorecard!F35)*IF(ISNUMBER(Scorecard!F30:Scorecard!F35),Scorecard!F30:Scorecard!F35,0)*2)+SUMPRODUCT((Scorecard!D30:D35="1x")*ISNUMBER(Scorecard!F30:Scorecard!F35)*IF(ISNUMBER(Scorecard!F30:Scorecard!F35),Scorecard!F30:Scorecard!F35,0))&amp;" / 45","-")</f>
        <v/>
      </c>
      <c r="E17" s="42">
        <f>IFERROR(SUMPRODUCT((Scorecard!D30:D35="2x")*ISNUMBER(Scorecard!G30:Scorecard!G35)*IF(ISNUMBER(Scorecard!G30:Scorecard!G35),Scorecard!G30:Scorecard!G35,0)*2)+SUMPRODUCT((Scorecard!D30:D35="1x")*ISNUMBER(Scorecard!G30:Scorecard!G35)*IF(ISNUMBER(Scorecard!G30:Scorecard!G35),Scorecard!G30:Scorecard!G35,0))&amp;" / 45","-")</f>
        <v/>
      </c>
    </row>
    <row r="18" ht="22" customHeight="1">
      <c r="B18" s="45" t="inlineStr">
        <is>
          <t>4. European Compliance</t>
        </is>
      </c>
      <c r="C18" s="42">
        <f>IFERROR(SUMPRODUCT((Scorecard!D38:D45="2x")*ISNUMBER(Scorecard!E38:Scorecard!E45)*IF(ISNUMBER(Scorecard!E38:Scorecard!E45),Scorecard!E38:Scorecard!E45,0)*2)+SUMPRODUCT((Scorecard!D38:D45="1x")*ISNUMBER(Scorecard!E38:Scorecard!E45)*IF(ISNUMBER(Scorecard!E38:Scorecard!E45),Scorecard!E38:Scorecard!E45,0))&amp;" / 60","-")</f>
        <v/>
      </c>
      <c r="D18" s="42">
        <f>IFERROR(SUMPRODUCT((Scorecard!D38:D45="2x")*ISNUMBER(Scorecard!F38:Scorecard!F45)*IF(ISNUMBER(Scorecard!F38:Scorecard!F45),Scorecard!F38:Scorecard!F45,0)*2)+SUMPRODUCT((Scorecard!D38:D45="1x")*ISNUMBER(Scorecard!F38:Scorecard!F45)*IF(ISNUMBER(Scorecard!F38:Scorecard!F45),Scorecard!F38:Scorecard!F45,0))&amp;" / 60","-")</f>
        <v/>
      </c>
      <c r="E18" s="42">
        <f>IFERROR(SUMPRODUCT((Scorecard!D38:D45="2x")*ISNUMBER(Scorecard!G38:Scorecard!G45)*IF(ISNUMBER(Scorecard!G38:Scorecard!G45),Scorecard!G38:Scorecard!G45,0)*2)+SUMPRODUCT((Scorecard!D38:D45="1x")*ISNUMBER(Scorecard!G38:Scorecard!G45)*IF(ISNUMBER(Scorecard!G38:Scorecard!G45),Scorecard!G38:Scorecard!G45,0))&amp;" / 60","-")</f>
        <v/>
      </c>
    </row>
    <row r="20" ht="20" customHeight="1">
      <c r="B20" s="46" t="inlineStr">
        <is>
          <t>RECOMMENDATION</t>
        </is>
      </c>
    </row>
    <row r="21" ht="64" customHeight="1">
      <c r="B21" s="47" t="inlineStr">
        <is>
          <t>Add your recommendation and rationale here after completing the scoring.</t>
        </is>
      </c>
    </row>
    <row r="23" ht="16" customHeight="1">
      <c r="B23" s="48" t="inlineStr">
        <is>
          <t>Free version: 28 criteria, 4 dimensions, 3 vendors.  Premium version: 60 criteria, 6 dimensions, unlimited vendors, weighted scoring dashboard.  mdconsulting.netlify.app/resources</t>
        </is>
      </c>
    </row>
  </sheetData>
  <mergeCells count="7">
    <mergeCell ref="B23:E23"/>
    <mergeCell ref="B8:E8"/>
    <mergeCell ref="B7"/>
    <mergeCell ref="B21:E21"/>
    <mergeCell ref="B2:E2"/>
    <mergeCell ref="B20:E20"/>
    <mergeCell ref="B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2026-06-07T15:24:00Z</dcterms:created>
  <dcterms:modified xmlns:dcterms="http://purl.org/dc/terms/" xmlns:xsi="http://www.w3.org/2001/XMLSchema-instance" xsi:type="dcterms:W3CDTF">2026-06-07T15:24:00Z</dcterms:modified>
</cp:coreProperties>
</file>