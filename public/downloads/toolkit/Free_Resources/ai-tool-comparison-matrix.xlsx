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ragu\Documents\GitHub\mirela-website\mirela-frontend\public\downloads\"/>
    </mc:Choice>
  </mc:AlternateContent>
  <xr:revisionPtr revIDLastSave="0" documentId="8_{78C9F176-9AB6-42CB-924A-7B1BD0054B3B}" xr6:coauthVersionLast="47" xr6:coauthVersionMax="47" xr10:uidLastSave="{00000000-0000-0000-0000-000000000000}"/>
  <bookViews>
    <workbookView xWindow="-120" yWindow="-120" windowWidth="29040" windowHeight="15720" xr2:uid="{00000000-000D-0000-FFFF-FFFF00000000}"/>
  </bookViews>
  <sheets>
    <sheet name="Instructions" sheetId="1" r:id="rId1"/>
    <sheet name="Comparison Matrix" sheetId="2" r:id="rId2"/>
    <sheet name="Best-Fit Guide" sheetId="3" r:id="rId3"/>
    <sheet name="My Prioriti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4" l="1"/>
  <c r="E13" i="4"/>
  <c r="D13" i="4"/>
  <c r="F12" i="4"/>
  <c r="E12" i="4"/>
  <c r="D12" i="4"/>
  <c r="F11" i="4"/>
  <c r="E11" i="4"/>
  <c r="D11" i="4"/>
  <c r="F10" i="4"/>
  <c r="E10" i="4"/>
  <c r="D10" i="4"/>
  <c r="F9" i="4"/>
  <c r="F14" i="4" s="1"/>
  <c r="E9" i="4"/>
  <c r="E14" i="4" s="1"/>
  <c r="D9" i="4"/>
  <c r="D14" i="4" s="1"/>
  <c r="F42" i="2"/>
  <c r="E42" i="2"/>
  <c r="D42" i="2"/>
</calcChain>
</file>

<file path=xl/sharedStrings.xml><?xml version="1.0" encoding="utf-8"?>
<sst xmlns="http://schemas.openxmlformats.org/spreadsheetml/2006/main" count="199" uniqueCount="176">
  <si>
    <t>AI Tool Comparison Matrix — ChatGPT vs Copilot vs Gemini</t>
  </si>
  <si>
    <t>ABOUT THIS MATRIX</t>
  </si>
  <si>
    <t>This matrix provides a structured side-by-side comparison of ChatGPT (OpenAI),</t>
  </si>
  <si>
    <t>Microsoft Copilot, and Google Gemini for finance use cases — covering performance,</t>
  </si>
  <si>
    <t>data security, integration, cost, and model quality.</t>
  </si>
  <si>
    <t>HOW TO USE</t>
  </si>
  <si>
    <t>Step 1 —  Go to the Comparison Matrix sheet to view the full scored comparison.</t>
  </si>
  <si>
    <t>Step 2 —  Review the Best-Fit Guide sheet for a quick decision framework.</t>
  </si>
  <si>
    <t>Step 3 —  Use the My Priorities sheet to weight criteria by your organisation's needs.</t>
  </si>
  <si>
    <t>SCORING GUIDE</t>
  </si>
  <si>
    <t xml:space="preserve">   1  =  Poor — significant limitation for finance use</t>
  </si>
  <si>
    <t xml:space="preserve">   2  =  Below average — notable gaps or constraints</t>
  </si>
  <si>
    <t xml:space="preserve">   3  =  Adequate — meets minimum requirements with caveats</t>
  </si>
  <si>
    <t xml:space="preserve">   4  =  Good — strong for most finance use cases</t>
  </si>
  <si>
    <t xml:space="preserve">   5  =  Excellent — best-in-class for this criterion</t>
  </si>
  <si>
    <t xml:space="preserve">   Criteria marked 2x are weighted double in the total score.</t>
  </si>
  <si>
    <t>IMPORTANT NOTE</t>
  </si>
  <si>
    <t>Scores reflect the position as of June 2026. AI tools evolve rapidly — review</t>
  </si>
  <si>
    <t>pricing, security terms, and feature availability before making procurement decisions.</t>
  </si>
  <si>
    <t>Free resource  ·  Mirela Dragulescu Consulting</t>
  </si>
  <si>
    <t>AI Tool Comparison Matrix — ChatGPT vs Microsoft Copilot vs Google Gemini</t>
  </si>
  <si>
    <t>WT</t>
  </si>
  <si>
    <t>CRITERION</t>
  </si>
  <si>
    <t>ChatGPT
(OpenAI)</t>
  </si>
  <si>
    <t>Microsoft
Copilot</t>
  </si>
  <si>
    <t>Google
Gemini</t>
  </si>
  <si>
    <t>ChatGPT — Notes</t>
  </si>
  <si>
    <t>Copilot — Notes</t>
  </si>
  <si>
    <t>Gemini — Notes</t>
  </si>
  <si>
    <t>1. FINANCE USE CASE PERFORMANCE</t>
  </si>
  <si>
    <t>2x</t>
  </si>
  <si>
    <t>Variance commentary generation</t>
  </si>
  <si>
    <t>Strong structured output with R.C.T.F. prompts; reliable for management commentary</t>
  </si>
  <si>
    <t>Excellent in Excel with Copilot in Excel; commentary in chat mode also strong</t>
  </si>
  <si>
    <t>Good general output; less finance-specific training; prompt engineering required</t>
  </si>
  <si>
    <t>Executive summary drafting</t>
  </si>
  <si>
    <t>Best-in-class for long-form structured financial narratives with precise constraints</t>
  </si>
  <si>
    <t>Strong for Word/Outlook integration; slightly less flexible on format instructions</t>
  </si>
  <si>
    <t>Solid for summaries; strong when connected to Google Workspace documents</t>
  </si>
  <si>
    <t>1x</t>
  </si>
  <si>
    <t>Cash flow narrative writing</t>
  </si>
  <si>
    <t>Reliable with well-structured prompts; handles bridge narratives well</t>
  </si>
  <si>
    <t>Good in Teams/Outlook context; requires clear data in prompt</t>
  </si>
  <si>
    <t>Adequate; tends toward generic language without tight format instructions</t>
  </si>
  <si>
    <t>Variance analysis from data tables</t>
  </si>
  <si>
    <t>Strong; requires data pasted into prompt — no live ERP connection</t>
  </si>
  <si>
    <t>Excel Copilot can reference live table data directly without copy-paste</t>
  </si>
  <si>
    <t>Adequate via Gemini Advanced in Sheets; less precise than Copilot in Excel</t>
  </si>
  <si>
    <t>Prompt engineering flexibility</t>
  </si>
  <si>
    <t>Most flexible — accepts complex multi-part instructions reliably</t>
  </si>
  <si>
    <t>More constrained by Microsoft UI — less flexible for advanced prompting</t>
  </si>
  <si>
    <t>Good flexibility; Google AI Studio allows advanced configuration</t>
  </si>
  <si>
    <t>2. DATA SECURITY &amp;AMP; COMPLIANCE</t>
  </si>
  <si>
    <t>GDPR / EU data residency</t>
  </si>
  <si>
    <t>ChatGPT Enterprise offers EU data residency; free/Plus tiers do not guarantee this</t>
  </si>
  <si>
    <t>Microsoft 365 Copilot: data stays in EU tenant by default; strong GDPR posture</t>
  </si>
  <si>
    <t>Google Workspace data residency available for Enterprise; region-specific controls exist</t>
  </si>
  <si>
    <t>Training data opt-out</t>
  </si>
  <si>
    <t>Enterprise tier: data not used for training. Plus/free: opt-out available in settings</t>
  </si>
  <si>
    <t>Microsoft 365 Copilot: commercial data protection by default — data never trains the model</t>
  </si>
  <si>
    <t>Workspace Business/Enterprise: data not used for training by default</t>
  </si>
  <si>
    <t>Session data retention</t>
  </si>
  <si>
    <t>Conversations retained; delete manually. Enterprise: configurable retention policies</t>
  </si>
  <si>
    <t>Data governed by M365 retention policies — aligned to existing IT governance</t>
  </si>
  <si>
    <t>Conversation history stored; configurable via Workspace Admin for Enterprise</t>
  </si>
  <si>
    <t>Audit trail and access logging</t>
  </si>
  <si>
    <t>Enterprise: admin console with usage monitoring. Limited on free/Plus tiers</t>
  </si>
  <si>
    <t>Full Microsoft Purview integration — compliance logging, DLP, access controls</t>
  </si>
  <si>
    <t>Google Admin console logging; Workspace Enterprise has advanced audit capabilities</t>
  </si>
  <si>
    <t>Suitability for sensitive financial data</t>
  </si>
  <si>
    <t>Enterprise tier only. Free/Plus must not be used with price-sensitive or personal data</t>
  </si>
  <si>
    <t>M365 Copilot with existing M365 E3/E5 licence: safest option for most finance teams</t>
  </si>
  <si>
    <t>Google Workspace Enterprise only. Requires IT governance sign-off</t>
  </si>
  <si>
    <t>3. INTEGRATION &amp;AMP; WORKFLOW</t>
  </si>
  <si>
    <t>Microsoft 365 integration (Excel, Word, Outlook, Teams)</t>
  </si>
  <si>
    <t>No native integration. API available but requires developer setup</t>
  </si>
  <si>
    <t>Native — Copilot is built into Excel, Word, Outlook, PowerPoint, Teams</t>
  </si>
  <si>
    <t>Limited. Requires browser switching or API; no native M365 integration</t>
  </si>
  <si>
    <t>Google Workspace integration (Sheets, Docs, Gmail)</t>
  </si>
  <si>
    <t>No native integration with Google Workspace</t>
  </si>
  <si>
    <t>No native Google Workspace integration</t>
  </si>
  <si>
    <t>Native — Gemini is built into Google Sheets, Docs, Gmail, Meet</t>
  </si>
  <si>
    <t>ERP / finance system connectivity</t>
  </si>
  <si>
    <t>No direct ERP connection. Data must be pasted into prompt manually</t>
  </si>
  <si>
    <t>Power Platform connectors available; limited direct ERP integration</t>
  </si>
  <si>
    <t>Google Cloud connectors available; no direct ERP integration out of the box</t>
  </si>
  <si>
    <t>Browser and web research capability</t>
  </si>
  <si>
    <t>Web browsing available in ChatGPT Plus/Enterprise; reliable for current information</t>
  </si>
  <si>
    <t>Copilot has strong web search via Bing integration in Teams and browser</t>
  </si>
  <si>
    <t>Google Search integration gives Gemini the strongest real-time web access</t>
  </si>
  <si>
    <t>Mobile accessibility</t>
  </si>
  <si>
    <t>ChatGPT iOS/Android app: strong mobile experience with voice input</t>
  </si>
  <si>
    <t>Copilot available in M365 mobile apps; standalone app also available</t>
  </si>
  <si>
    <t>Gemini app on iOS/Android; integrated into Google app ecosystem</t>
  </si>
  <si>
    <t>4. COST &amp;AMP; ACCESSIBILITY</t>
  </si>
  <si>
    <t>Free tier availability</t>
  </si>
  <si>
    <t>ChatGPT free: GPT-3.5 access. Limited but functional for basic tasks</t>
  </si>
  <si>
    <t>Copilot free tier available via copilot.microsoft.com; limited without M365</t>
  </si>
  <si>
    <t>Gemini free tier (1.5 Flash model): strong capability at no cost</t>
  </si>
  <si>
    <t>Pricing (per user per month, mid-tier)</t>
  </si>
  <si>
    <t>ChatGPT Plus: $20/month. Enterprise: custom pricing, typically $30-60/user</t>
  </si>
  <si>
    <t>M365 Copilot: $30/user/month add-on to M365 E3/E5 licence</t>
  </si>
  <si>
    <t>Gemini Advanced: $19/month (Google One AI Premium). Business: $22/user/month</t>
  </si>
  <si>
    <t>Value for finance teams already in M365</t>
  </si>
  <si>
    <t>Adds cost with no native M365 integration — less compelling if team is M365-native</t>
  </si>
  <si>
    <t>Strong ROI for M365-native finance teams — integrates with existing tools</t>
  </si>
  <si>
    <t>Adds cost with no M365 integration — not the right choice for M365-first teams</t>
  </si>
  <si>
    <t>Value for finance teams in Google Workspace</t>
  </si>
  <si>
    <t>Adds cost with no Workspace integration — less compelling for Workspace-native teams</t>
  </si>
  <si>
    <t>Adds cost with no Workspace integration — not the right choice for Workspace teams</t>
  </si>
  <si>
    <t>Strong ROI for Workspace-native teams — integrates with existing tools</t>
  </si>
  <si>
    <t>Licence simplicity</t>
  </si>
  <si>
    <t>Simple subscription; no dependency on existing productivity licence</t>
  </si>
  <si>
    <t>Requires existing M365 E3/E5 licence as prerequisite — more complex to procure</t>
  </si>
  <si>
    <t>Can be purchased independently; also bundled with Google Workspace</t>
  </si>
  <si>
    <t>5. MODEL QUALITY &amp;AMP; RELIABILITY</t>
  </si>
  <si>
    <t>Instruction following accuracy</t>
  </si>
  <si>
    <t>GPT-4o: best-in-class for following precise, multi-part instructions in finance prompts</t>
  </si>
  <si>
    <t>Strong on standard tasks; slightly less reliable on complex nested instructions</t>
  </si>
  <si>
    <t>Gemini 1.5 Pro: strong instruction following; good on structured output formats</t>
  </si>
  <si>
    <t>Hallucination risk for financial content</t>
  </si>
  <si>
    <t>Hallucinates when asked to retrieve data it does not have. Use only with pasted data</t>
  </si>
  <si>
    <t>Same risk — all LLMs hallucinate. Microsoft Copilot adds grounding in M365 data</t>
  </si>
  <si>
    <t>Same risk. Google Search grounding reduces hallucination on factual questions</t>
  </si>
  <si>
    <t>Output consistency across sessions</t>
  </si>
  <si>
    <t>Consistent output quality with well-structured prompts; minor variability in tone</t>
  </si>
  <si>
    <t>Consistent within M365 apps; less predictable in standalone Copilot chat</t>
  </si>
  <si>
    <t>More variable output quality; prompt engineering matters more for consistency</t>
  </si>
  <si>
    <t>Handling of long financial documents</t>
  </si>
  <si>
    <t>128k token context window — handles full board packs and long financial reports</t>
  </si>
  <si>
    <t>Large context window in M365 Copilot; effective for long Word/Excel documents</t>
  </si>
  <si>
    <t>1M token context (Gemini 1.5 Pro) — largest context window of the three tools</t>
  </si>
  <si>
    <t>Model updates and improvement rate</t>
  </si>
  <si>
    <t>OpenAI releases frequent model updates; GPT-4o is current frontier model</t>
  </si>
  <si>
    <t>Tied to Microsoft release cycle; improvements steady but less frequent</t>
  </si>
  <si>
    <t>Google DeepMind: rapid Gemini iteration; 1.5 Pro and 2.0 Flash are strong models</t>
  </si>
  <si>
    <t>TOTAL WEIGHTED SCORE</t>
  </si>
  <si>
    <t>Maximum possible score: 185  (criteria marked 2x count double)</t>
  </si>
  <si>
    <t>Best-Fit Guide — Which Tool for Your Finance Team?</t>
  </si>
  <si>
    <t>YOUR SITUATION</t>
  </si>
  <si>
    <t>RECOMMENDED TOOL</t>
  </si>
  <si>
    <t>You and your team work primarily in Microsoft 365
(Excel, Word, Outlook, Teams)</t>
  </si>
  <si>
    <t>Microsoft Copilot
Integrates natively with your existing tools. No context switching. Data stays in your M365 tenant.</t>
  </si>
  <si>
    <t>You and your team work primarily in Google Workspace
(Sheets, Docs, Gmail, Meet)</t>
  </si>
  <si>
    <t>Google Gemini
Native Workspace integration. Best ROI for Workspace-native teams. Strong real-time search.</t>
  </si>
  <si>
    <t>You want the most powerful prompt-based finance writing tool
with maximum flexibility</t>
  </si>
  <si>
    <t>ChatGPT (GPT-4o)
Best instruction-following for complex, multi-part finance prompts. Ideal for variance commentary and executive narratives.</t>
  </si>
  <si>
    <t>Data security and GDPR are your primary concern
and you are in a regulated industry</t>
  </si>
  <si>
    <t>Microsoft Copilot (M365 E3/E5)
Strongest data governance. Microsoft Purview integration. Commercial data protection by default.</t>
  </si>
  <si>
    <t>You want to experiment without budget commitment
before making a procurement decision</t>
  </si>
  <si>
    <t>Start with Gemini Free (1.5 Flash)
Strongest free tier for finance tasks. Then trial ChatGPT Plus before deciding.</t>
  </si>
  <si>
    <t>You need a tool that can read and analyse
long financial documents (full board packs)</t>
  </si>
  <si>
    <t>Google Gemini 1.5 Pro
Largest context window (1 million tokens). Can process full board packs and lengthy reports in one session.</t>
  </si>
  <si>
    <t>You want to automate Excel-based finance workflows
(variance analysis, data cleaning, formula help)</t>
  </si>
  <si>
    <t>Microsoft Copilot in Excel
The only tool with native Excel integration. Can reference live data in your workbook without copy-paste.</t>
  </si>
  <si>
    <t>Your organisation has no existing M365 or Workspace licence
and you want the simplest procurement path</t>
  </si>
  <si>
    <t>ChatGPT Plus ($20/month)
Simple subscription, no dependencies, strong capability across all finance writing and analysis tasks.</t>
  </si>
  <si>
    <t>YOU SHOULD NOT USE ANY AI TOOL (yet) IF:</t>
  </si>
  <si>
    <t>Review the AI Governance Checklist for Finance first</t>
  </si>
  <si>
    <t>Your financial data contains personal employee data,
price-sensitive information, or audit workpapers</t>
  </si>
  <si>
    <t>None of the above tools are appropriate for this data without Enterprise-grade controls and explicit IT/Legal approval.</t>
  </si>
  <si>
    <t>Note: Scores and recommendations reflect the tool landscape as of June 2026. Pricing, features, and security terms change frequently — verify before procurement.</t>
  </si>
  <si>
    <t>My Priorities — Weighted Score by Your Organisation's Needs</t>
  </si>
  <si>
    <t>Rate each dimension 1–5 by importance to your organisation. The weighted score shows which tool best matches your specific priorities.</t>
  </si>
  <si>
    <t>DIMENSION</t>
  </si>
  <si>
    <t>Your Priority
(1–5)</t>
  </si>
  <si>
    <t>ChatGPT
Sect. Score</t>
  </si>
  <si>
    <t>Copilot
Sect. Score</t>
  </si>
  <si>
    <t>Gemini
Sect. Score</t>
  </si>
  <si>
    <t>1. Finance Use Case Performance</t>
  </si>
  <si>
    <t>2. Data Security &amp; Compliance</t>
  </si>
  <si>
    <t>3. Integration &amp; Workflow</t>
  </si>
  <si>
    <t>4. Cost &amp; Accessibility</t>
  </si>
  <si>
    <t>5. Model Quality &amp; Reliability</t>
  </si>
  <si>
    <t>PRIORITY-WEIGHTED TOTAL</t>
  </si>
  <si>
    <t>Adjust the Priority scores (blue cells) to reflect your organisation's needs. The weighted total recalculates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</si>
</sst>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Arial"/>
    </font>
    <font>
      <b/>
      <sz val="11"/>
      <color rgb="FF0D1B2A"/>
      <name val="Arial"/>
    </font>
    <font>
      <sz val="9"/>
      <color rgb="FF2D3748"/>
      <name val="Arial"/>
    </font>
    <font>
      <sz val="10"/>
      <color rgb="FF2D3748"/>
      <name val="Arial"/>
    </font>
    <font>
      <sz val="9"/>
      <color rgb="FF64748B"/>
      <name val="Arial"/>
    </font>
    <font>
      <b/>
      <sz val="16"/>
      <color rgb="FFFFFFFF"/>
      <name val="Arial"/>
    </font>
    <font>
      <b/>
      <sz val="9.5"/>
      <color rgb="FFFFFFFF"/>
      <name val="Arial"/>
    </font>
    <font>
      <b/>
      <sz val="9.5"/>
      <color rgb="FF1A3C5E"/>
      <name val="Arial"/>
    </font>
    <font>
      <b/>
      <sz val="9.5"/>
      <color rgb="FF1E6B4A"/>
      <name val="Arial"/>
    </font>
    <font>
      <b/>
      <sz val="10"/>
      <color rgb="FFFFFFFF"/>
      <name val="Arial"/>
    </font>
    <font>
      <b/>
      <sz val="8"/>
      <color rgb="FFC07A2D"/>
      <name val="Arial"/>
    </font>
    <font>
      <b/>
      <sz val="9"/>
      <color rgb="FF2D3748"/>
      <name val="Arial"/>
    </font>
    <font>
      <b/>
      <sz val="13"/>
      <color rgb="FF0D1B2A"/>
      <name val="Arial"/>
    </font>
    <font>
      <sz val="8"/>
      <color rgb="FF2D3748"/>
      <name val="Arial"/>
    </font>
    <font>
      <sz val="8"/>
      <color rgb="FF64748B"/>
      <name val="Arial"/>
    </font>
    <font>
      <b/>
      <sz val="14"/>
      <color rgb="FFC07A2D"/>
      <name val="Arial"/>
    </font>
    <font>
      <i/>
      <sz val="8"/>
      <color rgb="FF64748B"/>
      <name val="Arial"/>
    </font>
    <font>
      <sz val="9.5"/>
      <color rgb="FF2D3748"/>
      <name val="Arial"/>
    </font>
    <font>
      <b/>
      <sz val="9.5"/>
      <color rgb="FFC07A2D"/>
      <name val="Arial"/>
    </font>
    <font>
      <b/>
      <sz val="9.5"/>
      <color rgb="FF7B3F00"/>
      <name val="Arial"/>
    </font>
    <font>
      <b/>
      <sz val="9.5"/>
      <color rgb="FF0D6E6E"/>
      <name val="Arial"/>
    </font>
    <font>
      <b/>
      <sz val="9.5"/>
      <color rgb="FF6B21A8"/>
      <name val="Arial"/>
    </font>
    <font>
      <b/>
      <sz val="9.5"/>
      <color rgb="FF991B1B"/>
      <name val="Arial"/>
    </font>
    <font>
      <i/>
      <sz val="8.5"/>
      <color rgb="FF64748B"/>
      <name val="Arial"/>
    </font>
    <font>
      <b/>
      <sz val="9"/>
      <color rgb="FFFFFFFF"/>
      <name val="Arial"/>
    </font>
    <font>
      <b/>
      <sz val="9.5"/>
      <color rgb="FF2D3748"/>
      <name val="Arial"/>
    </font>
    <font>
      <b/>
      <sz val="11"/>
      <color rgb="FF0000FF"/>
      <name val="Arial"/>
    </font>
    <font>
      <b/>
      <sz val="10"/>
      <color rgb="FF0D1B2A"/>
      <name val="Arial"/>
    </font>
    <font>
      <b/>
      <sz val="13"/>
      <color rgb="FFC07A2D"/>
      <name val="Arial"/>
    </font>
  </fonts>
  <fills count="17">
    <fill>
      <patternFill patternType="none"/>
    </fill>
    <fill>
      <patternFill patternType="gray125"/>
    </fill>
    <fill>
      <patternFill patternType="solid">
        <fgColor rgb="FF0D1B2A"/>
      </patternFill>
    </fill>
    <fill>
      <patternFill patternType="solid">
        <fgColor rgb="FFC07A2D"/>
      </patternFill>
    </fill>
    <fill>
      <patternFill patternType="solid">
        <fgColor rgb="FFF7F3ED"/>
      </patternFill>
    </fill>
    <fill>
      <patternFill patternType="solid">
        <fgColor rgb="FFF8F9FA"/>
      </patternFill>
    </fill>
    <fill>
      <patternFill patternType="solid">
        <fgColor rgb="FFEBF4FF"/>
      </patternFill>
    </fill>
    <fill>
      <patternFill patternType="solid">
        <fgColor rgb="FFE8F0FE"/>
      </patternFill>
    </fill>
    <fill>
      <patternFill patternType="solid">
        <fgColor rgb="FFE6F4EA"/>
      </patternFill>
    </fill>
    <fill>
      <patternFill patternType="solid">
        <fgColor rgb="FF1A3C5E"/>
      </patternFill>
    </fill>
    <fill>
      <patternFill patternType="solid">
        <fgColor rgb="FFFFFFFF"/>
      </patternFill>
    </fill>
    <fill>
      <patternFill patternType="solid">
        <fgColor rgb="FF991B1B"/>
      </patternFill>
    </fill>
    <fill>
      <patternFill patternType="solid">
        <fgColor rgb="FF0D6E6E"/>
      </patternFill>
    </fill>
    <fill>
      <patternFill patternType="solid">
        <fgColor rgb="FF6B21A8"/>
      </patternFill>
    </fill>
    <fill>
      <patternFill patternType="solid">
        <fgColor rgb="FF1E6B4A"/>
      </patternFill>
    </fill>
    <fill>
      <patternFill patternType="solid">
        <fgColor rgb="FF2D3748"/>
      </patternFill>
    </fill>
    <fill>
      <patternFill patternType="solid">
        <fgColor rgb="FFFEF3C7"/>
      </patternFill>
    </fill>
  </fills>
  <borders count="5">
    <border>
      <left/>
      <right/>
      <top/>
      <bottom/>
      <diagonal/>
    </border>
    <border>
      <left style="medium">
        <color rgb="FF1A3C5E"/>
      </left>
      <right style="medium">
        <color rgb="FF1A3C5E"/>
      </right>
      <top style="medium">
        <color rgb="FF1A3C5E"/>
      </top>
      <bottom style="medium">
        <color rgb="FF1A3C5E"/>
      </bottom>
      <diagonal/>
    </border>
    <border>
      <left style="thin">
        <color rgb="FFCBD5E0"/>
      </left>
      <right style="thin">
        <color rgb="FFCBD5E0"/>
      </right>
      <top style="thin">
        <color rgb="FFCBD5E0"/>
      </top>
      <bottom style="thin">
        <color rgb="FFCBD5E0"/>
      </bottom>
      <diagonal/>
    </border>
    <border>
      <left style="medium">
        <color rgb="FF0D1B2A"/>
      </left>
      <right style="medium">
        <color rgb="FF0D1B2A"/>
      </right>
      <top style="medium">
        <color rgb="FF0D1B2A"/>
      </top>
      <bottom style="medium">
        <color rgb="FF0D1B2A"/>
      </bottom>
      <diagonal/>
    </border>
    <border>
      <left style="medium">
        <color rgb="FFC07A2D"/>
      </left>
      <right style="medium">
        <color rgb="FFC07A2D"/>
      </right>
      <top style="medium">
        <color rgb="FFC07A2D"/>
      </top>
      <bottom style="medium">
        <color rgb="FFC07A2D"/>
      </bottom>
      <diagonal/>
    </border>
  </borders>
  <cellStyleXfs count="1">
    <xf numFmtId="0" fontId="0" fillId="0" borderId="0"/>
  </cellStyleXfs>
  <cellXfs count="62">
    <xf numFmtId="0" fontId="0" fillId="0" borderId="0" xfId="0"/>
    <xf numFmtId="0" fontId="0" fillId="2" borderId="0" xfId="0" applyFill="1"/>
    <xf numFmtId="0" fontId="0" fillId="3" borderId="0" xfId="0" applyFill="1"/>
    <xf numFmtId="0" fontId="7" fillId="2"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1" fillId="4" borderId="2" xfId="0" applyFont="1" applyFill="1" applyBorder="1" applyAlignment="1">
      <alignment horizontal="center" vertical="center"/>
    </xf>
    <xf numFmtId="0" fontId="12" fillId="4" borderId="2" xfId="0" applyFont="1" applyFill="1" applyBorder="1" applyAlignment="1">
      <alignment horizontal="left" vertical="center" wrapText="1"/>
    </xf>
    <xf numFmtId="0" fontId="13" fillId="4" borderId="2" xfId="0" applyFont="1" applyFill="1" applyBorder="1" applyAlignment="1">
      <alignment horizontal="center" vertical="center"/>
    </xf>
    <xf numFmtId="0" fontId="14" fillId="4" borderId="2" xfId="0" applyFont="1" applyFill="1" applyBorder="1" applyAlignment="1">
      <alignment horizontal="left" vertical="center" wrapText="1"/>
    </xf>
    <xf numFmtId="0" fontId="11" fillId="10" borderId="2" xfId="0" applyFont="1" applyFill="1" applyBorder="1" applyAlignment="1">
      <alignment horizontal="center" vertical="center"/>
    </xf>
    <xf numFmtId="0" fontId="12" fillId="10" borderId="2" xfId="0" applyFont="1" applyFill="1" applyBorder="1" applyAlignment="1">
      <alignment horizontal="left" vertical="center" wrapText="1"/>
    </xf>
    <xf numFmtId="0" fontId="13" fillId="10" borderId="2" xfId="0" applyFont="1" applyFill="1" applyBorder="1" applyAlignment="1">
      <alignment horizontal="center" vertical="center"/>
    </xf>
    <xf numFmtId="0" fontId="14" fillId="10" borderId="2" xfId="0" applyFont="1" applyFill="1" applyBorder="1" applyAlignment="1">
      <alignment horizontal="left" vertical="center" wrapText="1"/>
    </xf>
    <xf numFmtId="0" fontId="15" fillId="4" borderId="2" xfId="0" applyFont="1" applyFill="1" applyBorder="1" applyAlignment="1">
      <alignment horizontal="center" vertical="center"/>
    </xf>
    <xf numFmtId="0" fontId="3" fillId="4" borderId="2" xfId="0" applyFont="1" applyFill="1" applyBorder="1" applyAlignment="1">
      <alignment horizontal="left" vertical="center" wrapText="1"/>
    </xf>
    <xf numFmtId="0" fontId="0" fillId="10" borderId="0" xfId="0" applyFill="1"/>
    <xf numFmtId="0" fontId="15" fillId="10" borderId="2" xfId="0" applyFont="1" applyFill="1" applyBorder="1" applyAlignment="1">
      <alignment horizontal="center" vertical="center"/>
    </xf>
    <xf numFmtId="0" fontId="3" fillId="10" borderId="2" xfId="0" applyFont="1" applyFill="1" applyBorder="1" applyAlignment="1">
      <alignment horizontal="left" vertical="center" wrapText="1"/>
    </xf>
    <xf numFmtId="0" fontId="0" fillId="2" borderId="3" xfId="0" applyFill="1" applyBorder="1"/>
    <xf numFmtId="0" fontId="10" fillId="2" borderId="3" xfId="0" applyFont="1" applyFill="1" applyBorder="1" applyAlignment="1">
      <alignment horizontal="left" vertical="center"/>
    </xf>
    <xf numFmtId="0" fontId="16" fillId="2" borderId="3" xfId="0" applyFont="1" applyFill="1" applyBorder="1" applyAlignment="1">
      <alignment horizontal="center" vertical="center"/>
    </xf>
    <xf numFmtId="0" fontId="10" fillId="2" borderId="0" xfId="0" applyFont="1" applyFill="1" applyAlignment="1">
      <alignment horizontal="left" vertical="center"/>
    </xf>
    <xf numFmtId="0" fontId="18" fillId="10"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8" fillId="4"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9" fillId="10" borderId="2" xfId="0" applyFont="1" applyFill="1" applyBorder="1" applyAlignment="1">
      <alignment horizontal="left" vertical="center" wrapText="1"/>
    </xf>
    <xf numFmtId="0" fontId="20" fillId="4" borderId="2" xfId="0" applyFont="1" applyFill="1" applyBorder="1" applyAlignment="1">
      <alignment horizontal="left" vertical="center" wrapText="1"/>
    </xf>
    <xf numFmtId="0" fontId="21" fillId="10" borderId="2" xfId="0" applyFont="1" applyFill="1" applyBorder="1" applyAlignment="1">
      <alignment horizontal="left" vertical="center" wrapText="1"/>
    </xf>
    <xf numFmtId="0" fontId="22" fillId="4" borderId="2" xfId="0" applyFont="1" applyFill="1" applyBorder="1" applyAlignment="1">
      <alignment horizontal="left" vertical="center" wrapText="1"/>
    </xf>
    <xf numFmtId="0" fontId="23" fillId="4" borderId="2" xfId="0" applyFont="1" applyFill="1" applyBorder="1" applyAlignment="1">
      <alignment horizontal="left" vertical="center" wrapText="1"/>
    </xf>
    <xf numFmtId="0" fontId="0" fillId="15" borderId="0" xfId="0" applyFill="1"/>
    <xf numFmtId="0" fontId="10" fillId="15" borderId="0" xfId="0" applyFont="1" applyFill="1" applyAlignment="1">
      <alignment horizontal="left" vertical="center"/>
    </xf>
    <xf numFmtId="0" fontId="25" fillId="2" borderId="2" xfId="0" applyFont="1" applyFill="1" applyBorder="1" applyAlignment="1">
      <alignment horizontal="center" vertical="center" wrapText="1"/>
    </xf>
    <xf numFmtId="0" fontId="26" fillId="10" borderId="2" xfId="0" applyFont="1" applyFill="1" applyBorder="1" applyAlignment="1">
      <alignment horizontal="left" vertical="center"/>
    </xf>
    <xf numFmtId="0" fontId="27" fillId="16" borderId="4" xfId="0" applyFont="1" applyFill="1" applyBorder="1" applyAlignment="1">
      <alignment horizontal="center" vertical="center"/>
    </xf>
    <xf numFmtId="0" fontId="28" fillId="10" borderId="2" xfId="0" applyFont="1" applyFill="1" applyBorder="1" applyAlignment="1">
      <alignment horizontal="center" vertical="center"/>
    </xf>
    <xf numFmtId="0" fontId="26" fillId="4" borderId="2" xfId="0" applyFont="1" applyFill="1" applyBorder="1" applyAlignment="1">
      <alignment horizontal="left" vertical="center"/>
    </xf>
    <xf numFmtId="0" fontId="28" fillId="4" borderId="2" xfId="0" applyFont="1" applyFill="1" applyBorder="1" applyAlignment="1">
      <alignment horizontal="center" vertical="center"/>
    </xf>
    <xf numFmtId="0" fontId="10" fillId="2" borderId="2" xfId="0" applyFont="1" applyFill="1" applyBorder="1" applyAlignment="1">
      <alignment horizontal="left" vertical="center"/>
    </xf>
    <xf numFmtId="0" fontId="0" fillId="2" borderId="2" xfId="0" applyFill="1" applyBorder="1"/>
    <xf numFmtId="0" fontId="29" fillId="2" borderId="3" xfId="0" applyFont="1" applyFill="1" applyBorder="1" applyAlignment="1">
      <alignment horizontal="center" vertical="center"/>
    </xf>
    <xf numFmtId="0" fontId="4" fillId="5" borderId="0" xfId="0" applyFont="1" applyFill="1" applyAlignment="1">
      <alignment horizontal="left" vertical="center"/>
    </xf>
    <xf numFmtId="0" fontId="0" fillId="0" borderId="0" xfId="0"/>
    <xf numFmtId="0" fontId="3" fillId="4" borderId="0" xfId="0" applyFont="1" applyFill="1" applyAlignment="1">
      <alignment horizontal="left" vertical="center"/>
    </xf>
    <xf numFmtId="0" fontId="4" fillId="4" borderId="0" xfId="0" applyFont="1" applyFill="1" applyAlignment="1">
      <alignment horizontal="left" vertical="center"/>
    </xf>
    <xf numFmtId="0" fontId="2" fillId="4" borderId="0" xfId="0" applyFont="1" applyFill="1" applyAlignment="1">
      <alignment horizontal="left" vertical="center"/>
    </xf>
    <xf numFmtId="0" fontId="2" fillId="5" borderId="0" xfId="0" applyFont="1" applyFill="1" applyAlignment="1">
      <alignment horizontal="left" vertical="center"/>
    </xf>
    <xf numFmtId="0" fontId="1" fillId="2" borderId="0" xfId="0" applyFont="1" applyFill="1" applyAlignment="1">
      <alignment horizontal="left" vertical="center"/>
    </xf>
    <xf numFmtId="0" fontId="3" fillId="5" borderId="0" xfId="0" applyFont="1" applyFill="1" applyAlignment="1">
      <alignment horizontal="left" vertical="center"/>
    </xf>
    <xf numFmtId="0" fontId="5" fillId="5" borderId="0" xfId="0" applyFont="1" applyFill="1" applyAlignment="1">
      <alignment horizontal="left" vertical="center"/>
    </xf>
    <xf numFmtId="0" fontId="10" fillId="12" borderId="0" xfId="0" applyFont="1" applyFill="1" applyAlignment="1">
      <alignment horizontal="left" vertical="center"/>
    </xf>
    <xf numFmtId="0" fontId="10" fillId="9" borderId="0" xfId="0" applyFont="1" applyFill="1" applyAlignment="1">
      <alignment horizontal="left" vertical="center"/>
    </xf>
    <xf numFmtId="0" fontId="6" fillId="2" borderId="0" xfId="0" applyFont="1" applyFill="1" applyAlignment="1">
      <alignment horizontal="left" vertical="center"/>
    </xf>
    <xf numFmtId="0" fontId="10" fillId="13" borderId="0" xfId="0" applyFont="1" applyFill="1" applyAlignment="1">
      <alignment horizontal="left" vertical="center"/>
    </xf>
    <xf numFmtId="0" fontId="17" fillId="0" borderId="0" xfId="0" applyFont="1" applyAlignment="1">
      <alignment horizontal="left" vertical="center"/>
    </xf>
    <xf numFmtId="0" fontId="10" fillId="11" borderId="0" xfId="0" applyFont="1" applyFill="1" applyAlignment="1">
      <alignment horizontal="left" vertical="center"/>
    </xf>
    <xf numFmtId="0" fontId="10" fillId="14" borderId="0" xfId="0" applyFont="1" applyFill="1" applyAlignment="1">
      <alignment horizontal="left" vertical="center"/>
    </xf>
    <xf numFmtId="0" fontId="24" fillId="0" borderId="0" xfId="0" applyFont="1" applyAlignment="1">
      <alignment horizontal="left" vertical="center" wrapText="1"/>
    </xf>
    <xf numFmtId="0" fontId="18" fillId="4"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showGridLines="0" tabSelected="1" workbookViewId="0"/>
  </sheetViews>
  <sheetFormatPr defaultRowHeight="15" x14ac:dyDescent="0.25"/>
  <cols>
    <col min="1" max="1" width="2" customWidth="1"/>
    <col min="2" max="2" width="28" customWidth="1"/>
    <col min="3" max="3" width="52" customWidth="1"/>
    <col min="4" max="4" width="2" customWidth="1"/>
  </cols>
  <sheetData>
    <row r="1" spans="1:4" ht="8.1" customHeight="1" x14ac:dyDescent="0.25">
      <c r="A1" s="1"/>
      <c r="B1" s="1"/>
      <c r="C1" s="1"/>
      <c r="D1" s="1"/>
    </row>
    <row r="2" spans="1:4" ht="51.95" customHeight="1" x14ac:dyDescent="0.25">
      <c r="A2" s="1"/>
      <c r="B2" s="50" t="s">
        <v>0</v>
      </c>
      <c r="C2" s="45"/>
      <c r="D2" s="1"/>
    </row>
    <row r="3" spans="1:4" x14ac:dyDescent="0.25">
      <c r="A3" s="2"/>
      <c r="B3" s="2"/>
      <c r="C3" s="2"/>
      <c r="D3" s="2"/>
    </row>
    <row r="4" spans="1:4" ht="8.1" customHeight="1" x14ac:dyDescent="0.25">
      <c r="A4" s="1"/>
      <c r="B4" s="1"/>
      <c r="C4" s="1"/>
      <c r="D4" s="1"/>
    </row>
    <row r="5" spans="1:4" ht="9.9499999999999993" customHeight="1" x14ac:dyDescent="0.25"/>
    <row r="6" spans="1:4" ht="18" customHeight="1" x14ac:dyDescent="0.25">
      <c r="B6" s="48" t="s">
        <v>1</v>
      </c>
      <c r="C6" s="45"/>
    </row>
    <row r="7" spans="1:4" ht="8.1" customHeight="1" x14ac:dyDescent="0.25">
      <c r="B7" s="46"/>
      <c r="C7" s="45"/>
    </row>
    <row r="8" spans="1:4" ht="15.95" customHeight="1" x14ac:dyDescent="0.25">
      <c r="B8" s="47" t="s">
        <v>2</v>
      </c>
      <c r="C8" s="45"/>
    </row>
    <row r="9" spans="1:4" ht="15.95" customHeight="1" x14ac:dyDescent="0.25">
      <c r="B9" s="47" t="s">
        <v>3</v>
      </c>
      <c r="C9" s="45"/>
    </row>
    <row r="10" spans="1:4" ht="15.95" customHeight="1" x14ac:dyDescent="0.25">
      <c r="B10" s="47" t="s">
        <v>4</v>
      </c>
      <c r="C10" s="45"/>
    </row>
    <row r="11" spans="1:4" ht="8.1" customHeight="1" x14ac:dyDescent="0.25">
      <c r="B11" s="46"/>
      <c r="C11" s="45"/>
    </row>
    <row r="12" spans="1:4" ht="18" customHeight="1" x14ac:dyDescent="0.25">
      <c r="B12" s="49" t="s">
        <v>5</v>
      </c>
      <c r="C12" s="45"/>
    </row>
    <row r="13" spans="1:4" ht="8.1" customHeight="1" x14ac:dyDescent="0.25">
      <c r="B13" s="51"/>
      <c r="C13" s="45"/>
    </row>
    <row r="14" spans="1:4" ht="15.95" customHeight="1" x14ac:dyDescent="0.25">
      <c r="B14" s="44" t="s">
        <v>6</v>
      </c>
      <c r="C14" s="45"/>
    </row>
    <row r="15" spans="1:4" ht="15.95" customHeight="1" x14ac:dyDescent="0.25">
      <c r="B15" s="44" t="s">
        <v>7</v>
      </c>
      <c r="C15" s="45"/>
    </row>
    <row r="16" spans="1:4" ht="15.95" customHeight="1" x14ac:dyDescent="0.25">
      <c r="B16" s="44" t="s">
        <v>8</v>
      </c>
      <c r="C16" s="45"/>
    </row>
    <row r="17" spans="2:3" ht="8.1" customHeight="1" x14ac:dyDescent="0.25">
      <c r="B17" s="51"/>
      <c r="C17" s="45"/>
    </row>
    <row r="18" spans="2:3" ht="18" customHeight="1" x14ac:dyDescent="0.25">
      <c r="B18" s="48" t="s">
        <v>9</v>
      </c>
      <c r="C18" s="45"/>
    </row>
    <row r="19" spans="2:3" ht="8.1" customHeight="1" x14ac:dyDescent="0.25">
      <c r="B19" s="46"/>
      <c r="C19" s="45"/>
    </row>
    <row r="20" spans="2:3" ht="15.95" customHeight="1" x14ac:dyDescent="0.25">
      <c r="B20" s="47" t="s">
        <v>10</v>
      </c>
      <c r="C20" s="45"/>
    </row>
    <row r="21" spans="2:3" ht="15.95" customHeight="1" x14ac:dyDescent="0.25">
      <c r="B21" s="47" t="s">
        <v>11</v>
      </c>
      <c r="C21" s="45"/>
    </row>
    <row r="22" spans="2:3" ht="15.95" customHeight="1" x14ac:dyDescent="0.25">
      <c r="B22" s="47" t="s">
        <v>12</v>
      </c>
      <c r="C22" s="45"/>
    </row>
    <row r="23" spans="2:3" ht="15.95" customHeight="1" x14ac:dyDescent="0.25">
      <c r="B23" s="47" t="s">
        <v>13</v>
      </c>
      <c r="C23" s="45"/>
    </row>
    <row r="24" spans="2:3" ht="15.95" customHeight="1" x14ac:dyDescent="0.25">
      <c r="B24" s="47" t="s">
        <v>14</v>
      </c>
      <c r="C24" s="45"/>
    </row>
    <row r="25" spans="2:3" ht="8.1" customHeight="1" x14ac:dyDescent="0.25">
      <c r="B25" s="46"/>
      <c r="C25" s="45"/>
    </row>
    <row r="26" spans="2:3" ht="15.95" customHeight="1" x14ac:dyDescent="0.25">
      <c r="B26" s="47" t="s">
        <v>15</v>
      </c>
      <c r="C26" s="45"/>
    </row>
    <row r="27" spans="2:3" ht="8.1" customHeight="1" x14ac:dyDescent="0.25">
      <c r="B27" s="46"/>
      <c r="C27" s="45"/>
    </row>
    <row r="28" spans="2:3" ht="18" customHeight="1" x14ac:dyDescent="0.25">
      <c r="B28" s="49" t="s">
        <v>16</v>
      </c>
      <c r="C28" s="45"/>
    </row>
    <row r="29" spans="2:3" ht="8.1" customHeight="1" x14ac:dyDescent="0.25">
      <c r="B29" s="51"/>
      <c r="C29" s="45"/>
    </row>
    <row r="30" spans="2:3" ht="15.95" customHeight="1" x14ac:dyDescent="0.25">
      <c r="B30" s="44" t="s">
        <v>17</v>
      </c>
      <c r="C30" s="45"/>
    </row>
    <row r="31" spans="2:3" ht="15.95" customHeight="1" x14ac:dyDescent="0.25">
      <c r="B31" s="44" t="s">
        <v>18</v>
      </c>
      <c r="C31" s="45"/>
    </row>
    <row r="32" spans="2:3" ht="15.95" customHeight="1" x14ac:dyDescent="0.25">
      <c r="B32" s="52" t="s">
        <v>19</v>
      </c>
      <c r="C32" s="45"/>
    </row>
  </sheetData>
  <mergeCells count="28">
    <mergeCell ref="B32:C32"/>
    <mergeCell ref="B26:C26"/>
    <mergeCell ref="B2:C2"/>
    <mergeCell ref="B11:C11"/>
    <mergeCell ref="B23:C23"/>
    <mergeCell ref="B14:C14"/>
    <mergeCell ref="B17:C17"/>
    <mergeCell ref="B8:C8"/>
    <mergeCell ref="B13:C13"/>
    <mergeCell ref="B19:C19"/>
    <mergeCell ref="B10:C10"/>
    <mergeCell ref="B9:C9"/>
    <mergeCell ref="B6:C6"/>
    <mergeCell ref="B15:C15"/>
    <mergeCell ref="B20:C20"/>
    <mergeCell ref="B16:C16"/>
    <mergeCell ref="B7:C7"/>
    <mergeCell ref="B25:C25"/>
    <mergeCell ref="B22:C22"/>
    <mergeCell ref="B31:C31"/>
    <mergeCell ref="B18:C18"/>
    <mergeCell ref="B27:C27"/>
    <mergeCell ref="B12:C12"/>
    <mergeCell ref="B21:C21"/>
    <mergeCell ref="B29:C29"/>
    <mergeCell ref="B28:C28"/>
    <mergeCell ref="B24:C24"/>
    <mergeCell ref="B30:C3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showGridLines="0" workbookViewId="0">
      <pane xSplit="3" ySplit="6" topLeftCell="D7" activePane="bottomRight" state="frozen"/>
      <selection pane="topRight"/>
      <selection pane="bottomLeft"/>
      <selection pane="bottomRight"/>
    </sheetView>
  </sheetViews>
  <sheetFormatPr defaultRowHeight="15" x14ac:dyDescent="0.25"/>
  <cols>
    <col min="1" max="1" width="2" customWidth="1"/>
    <col min="2" max="2" width="6" customWidth="1"/>
    <col min="3" max="3" width="40" customWidth="1"/>
    <col min="4" max="6" width="16" customWidth="1"/>
    <col min="7" max="9" width="42" customWidth="1"/>
    <col min="10" max="10" width="2" customWidth="1"/>
  </cols>
  <sheetData>
    <row r="1" spans="1:10" ht="8.1" customHeight="1" x14ac:dyDescent="0.25">
      <c r="A1" s="1"/>
      <c r="B1" s="1"/>
      <c r="C1" s="1"/>
      <c r="D1" s="1"/>
      <c r="E1" s="1"/>
      <c r="F1" s="1"/>
      <c r="G1" s="1"/>
      <c r="H1" s="1"/>
      <c r="I1" s="1"/>
      <c r="J1" s="1"/>
    </row>
    <row r="2" spans="1:10" ht="44.1" customHeight="1" x14ac:dyDescent="0.25">
      <c r="A2" s="1"/>
      <c r="B2" s="55" t="s">
        <v>20</v>
      </c>
      <c r="C2" s="45"/>
      <c r="D2" s="45"/>
      <c r="E2" s="45"/>
      <c r="F2" s="45"/>
      <c r="G2" s="45"/>
      <c r="H2" s="45"/>
      <c r="I2" s="45"/>
      <c r="J2" s="1"/>
    </row>
    <row r="3" spans="1:10" ht="3.95" customHeight="1" x14ac:dyDescent="0.25">
      <c r="A3" s="2"/>
      <c r="B3" s="2"/>
      <c r="C3" s="2"/>
      <c r="D3" s="2"/>
      <c r="E3" s="2"/>
      <c r="F3" s="2"/>
      <c r="G3" s="2"/>
      <c r="H3" s="2"/>
      <c r="I3" s="2"/>
      <c r="J3" s="2"/>
    </row>
    <row r="4" spans="1:10" ht="8.1" customHeight="1" x14ac:dyDescent="0.25">
      <c r="A4" s="1"/>
      <c r="B4" s="1"/>
      <c r="C4" s="1"/>
      <c r="D4" s="1"/>
      <c r="E4" s="1"/>
      <c r="F4" s="1"/>
      <c r="G4" s="1"/>
      <c r="H4" s="1"/>
      <c r="I4" s="1"/>
      <c r="J4" s="1"/>
    </row>
    <row r="5" spans="1:10" ht="26.1" customHeight="1" x14ac:dyDescent="0.25">
      <c r="B5" s="3" t="s">
        <v>21</v>
      </c>
      <c r="C5" s="3" t="s">
        <v>22</v>
      </c>
      <c r="D5" s="4" t="s">
        <v>23</v>
      </c>
      <c r="E5" s="5" t="s">
        <v>24</v>
      </c>
      <c r="F5" s="6" t="s">
        <v>25</v>
      </c>
      <c r="G5" s="3" t="s">
        <v>26</v>
      </c>
      <c r="H5" s="3" t="s">
        <v>27</v>
      </c>
      <c r="I5" s="3" t="s">
        <v>28</v>
      </c>
    </row>
    <row r="6" spans="1:10" ht="8.1" customHeight="1" x14ac:dyDescent="0.25"/>
    <row r="7" spans="1:10" ht="20.100000000000001" customHeight="1" x14ac:dyDescent="0.25">
      <c r="B7" s="54" t="s">
        <v>29</v>
      </c>
      <c r="C7" s="45"/>
      <c r="D7" s="45"/>
      <c r="E7" s="45"/>
      <c r="F7" s="45"/>
      <c r="G7" s="45"/>
      <c r="H7" s="45"/>
      <c r="I7" s="45"/>
    </row>
    <row r="8" spans="1:10" ht="44.1" customHeight="1" x14ac:dyDescent="0.25">
      <c r="B8" s="7" t="s">
        <v>30</v>
      </c>
      <c r="C8" s="8" t="s">
        <v>31</v>
      </c>
      <c r="D8" s="9">
        <v>4</v>
      </c>
      <c r="E8" s="9">
        <v>4</v>
      </c>
      <c r="F8" s="9">
        <v>3</v>
      </c>
      <c r="G8" s="10" t="s">
        <v>32</v>
      </c>
      <c r="H8" s="10" t="s">
        <v>33</v>
      </c>
      <c r="I8" s="10" t="s">
        <v>34</v>
      </c>
    </row>
    <row r="9" spans="1:10" ht="44.1" customHeight="1" x14ac:dyDescent="0.25">
      <c r="B9" s="11" t="s">
        <v>30</v>
      </c>
      <c r="C9" s="12" t="s">
        <v>35</v>
      </c>
      <c r="D9" s="13">
        <v>5</v>
      </c>
      <c r="E9" s="13">
        <v>4</v>
      </c>
      <c r="F9" s="13">
        <v>4</v>
      </c>
      <c r="G9" s="14" t="s">
        <v>36</v>
      </c>
      <c r="H9" s="14" t="s">
        <v>37</v>
      </c>
      <c r="I9" s="14" t="s">
        <v>38</v>
      </c>
    </row>
    <row r="10" spans="1:10" ht="44.1" customHeight="1" x14ac:dyDescent="0.25">
      <c r="B10" s="15" t="s">
        <v>39</v>
      </c>
      <c r="C10" s="16" t="s">
        <v>40</v>
      </c>
      <c r="D10" s="9">
        <v>4</v>
      </c>
      <c r="E10" s="9">
        <v>4</v>
      </c>
      <c r="F10" s="9">
        <v>3</v>
      </c>
      <c r="G10" s="10" t="s">
        <v>41</v>
      </c>
      <c r="H10" s="10" t="s">
        <v>42</v>
      </c>
      <c r="I10" s="10" t="s">
        <v>43</v>
      </c>
    </row>
    <row r="11" spans="1:10" ht="44.1" customHeight="1" x14ac:dyDescent="0.25">
      <c r="B11" s="11" t="s">
        <v>30</v>
      </c>
      <c r="C11" s="12" t="s">
        <v>44</v>
      </c>
      <c r="D11" s="13">
        <v>4</v>
      </c>
      <c r="E11" s="13">
        <v>5</v>
      </c>
      <c r="F11" s="13">
        <v>3</v>
      </c>
      <c r="G11" s="14" t="s">
        <v>45</v>
      </c>
      <c r="H11" s="14" t="s">
        <v>46</v>
      </c>
      <c r="I11" s="14" t="s">
        <v>47</v>
      </c>
    </row>
    <row r="12" spans="1:10" ht="44.1" customHeight="1" x14ac:dyDescent="0.25">
      <c r="B12" s="15" t="s">
        <v>39</v>
      </c>
      <c r="C12" s="16" t="s">
        <v>48</v>
      </c>
      <c r="D12" s="9">
        <v>5</v>
      </c>
      <c r="E12" s="9">
        <v>3</v>
      </c>
      <c r="F12" s="9">
        <v>4</v>
      </c>
      <c r="G12" s="10" t="s">
        <v>49</v>
      </c>
      <c r="H12" s="10" t="s">
        <v>50</v>
      </c>
      <c r="I12" s="10" t="s">
        <v>51</v>
      </c>
    </row>
    <row r="13" spans="1:10" ht="5.0999999999999996" customHeight="1" x14ac:dyDescent="0.25">
      <c r="B13" s="17"/>
      <c r="C13" s="17"/>
      <c r="D13" s="17"/>
      <c r="E13" s="17"/>
      <c r="F13" s="17"/>
      <c r="G13" s="17"/>
      <c r="H13" s="17"/>
      <c r="I13" s="17"/>
      <c r="J13" s="17"/>
    </row>
    <row r="14" spans="1:10" ht="20.100000000000001" customHeight="1" x14ac:dyDescent="0.25">
      <c r="B14" s="58" t="s">
        <v>52</v>
      </c>
      <c r="C14" s="45"/>
      <c r="D14" s="45"/>
      <c r="E14" s="45"/>
      <c r="F14" s="45"/>
      <c r="G14" s="45"/>
      <c r="H14" s="45"/>
      <c r="I14" s="45"/>
    </row>
    <row r="15" spans="1:10" ht="44.1" customHeight="1" x14ac:dyDescent="0.25">
      <c r="B15" s="11" t="s">
        <v>30</v>
      </c>
      <c r="C15" s="12" t="s">
        <v>53</v>
      </c>
      <c r="D15" s="13">
        <v>3</v>
      </c>
      <c r="E15" s="13">
        <v>5</v>
      </c>
      <c r="F15" s="13">
        <v>3</v>
      </c>
      <c r="G15" s="14" t="s">
        <v>54</v>
      </c>
      <c r="H15" s="14" t="s">
        <v>55</v>
      </c>
      <c r="I15" s="14" t="s">
        <v>56</v>
      </c>
    </row>
    <row r="16" spans="1:10" ht="44.1" customHeight="1" x14ac:dyDescent="0.25">
      <c r="B16" s="7" t="s">
        <v>30</v>
      </c>
      <c r="C16" s="8" t="s">
        <v>57</v>
      </c>
      <c r="D16" s="9">
        <v>4</v>
      </c>
      <c r="E16" s="9">
        <v>5</v>
      </c>
      <c r="F16" s="9">
        <v>4</v>
      </c>
      <c r="G16" s="10" t="s">
        <v>58</v>
      </c>
      <c r="H16" s="10" t="s">
        <v>59</v>
      </c>
      <c r="I16" s="10" t="s">
        <v>60</v>
      </c>
    </row>
    <row r="17" spans="2:10" ht="44.1" customHeight="1" x14ac:dyDescent="0.25">
      <c r="B17" s="18" t="s">
        <v>39</v>
      </c>
      <c r="C17" s="19" t="s">
        <v>61</v>
      </c>
      <c r="D17" s="13">
        <v>3</v>
      </c>
      <c r="E17" s="13">
        <v>4</v>
      </c>
      <c r="F17" s="13">
        <v>3</v>
      </c>
      <c r="G17" s="14" t="s">
        <v>62</v>
      </c>
      <c r="H17" s="14" t="s">
        <v>63</v>
      </c>
      <c r="I17" s="14" t="s">
        <v>64</v>
      </c>
    </row>
    <row r="18" spans="2:10" ht="44.1" customHeight="1" x14ac:dyDescent="0.25">
      <c r="B18" s="15" t="s">
        <v>39</v>
      </c>
      <c r="C18" s="16" t="s">
        <v>65</v>
      </c>
      <c r="D18" s="9">
        <v>3</v>
      </c>
      <c r="E18" s="9">
        <v>5</v>
      </c>
      <c r="F18" s="9">
        <v>3</v>
      </c>
      <c r="G18" s="10" t="s">
        <v>66</v>
      </c>
      <c r="H18" s="10" t="s">
        <v>67</v>
      </c>
      <c r="I18" s="10" t="s">
        <v>68</v>
      </c>
    </row>
    <row r="19" spans="2:10" ht="44.1" customHeight="1" x14ac:dyDescent="0.25">
      <c r="B19" s="11" t="s">
        <v>30</v>
      </c>
      <c r="C19" s="12" t="s">
        <v>69</v>
      </c>
      <c r="D19" s="13">
        <v>3</v>
      </c>
      <c r="E19" s="13">
        <v>5</v>
      </c>
      <c r="F19" s="13">
        <v>3</v>
      </c>
      <c r="G19" s="14" t="s">
        <v>70</v>
      </c>
      <c r="H19" s="14" t="s">
        <v>71</v>
      </c>
      <c r="I19" s="14" t="s">
        <v>72</v>
      </c>
    </row>
    <row r="20" spans="2:10" ht="5.0999999999999996" customHeight="1" x14ac:dyDescent="0.25">
      <c r="B20" s="17"/>
      <c r="C20" s="17"/>
      <c r="D20" s="17"/>
      <c r="E20" s="17"/>
      <c r="F20" s="17"/>
      <c r="G20" s="17"/>
      <c r="H20" s="17"/>
      <c r="I20" s="17"/>
      <c r="J20" s="17"/>
    </row>
    <row r="21" spans="2:10" ht="20.100000000000001" customHeight="1" x14ac:dyDescent="0.25">
      <c r="B21" s="53" t="s">
        <v>73</v>
      </c>
      <c r="C21" s="45"/>
      <c r="D21" s="45"/>
      <c r="E21" s="45"/>
      <c r="F21" s="45"/>
      <c r="G21" s="45"/>
      <c r="H21" s="45"/>
      <c r="I21" s="45"/>
    </row>
    <row r="22" spans="2:10" ht="44.1" customHeight="1" x14ac:dyDescent="0.25">
      <c r="B22" s="7" t="s">
        <v>30</v>
      </c>
      <c r="C22" s="8" t="s">
        <v>74</v>
      </c>
      <c r="D22" s="9">
        <v>2</v>
      </c>
      <c r="E22" s="9">
        <v>5</v>
      </c>
      <c r="F22" s="9">
        <v>2</v>
      </c>
      <c r="G22" s="10" t="s">
        <v>75</v>
      </c>
      <c r="H22" s="10" t="s">
        <v>76</v>
      </c>
      <c r="I22" s="10" t="s">
        <v>77</v>
      </c>
    </row>
    <row r="23" spans="2:10" ht="44.1" customHeight="1" x14ac:dyDescent="0.25">
      <c r="B23" s="11" t="s">
        <v>30</v>
      </c>
      <c r="C23" s="12" t="s">
        <v>78</v>
      </c>
      <c r="D23" s="13">
        <v>2</v>
      </c>
      <c r="E23" s="13">
        <v>2</v>
      </c>
      <c r="F23" s="13">
        <v>5</v>
      </c>
      <c r="G23" s="14" t="s">
        <v>79</v>
      </c>
      <c r="H23" s="14" t="s">
        <v>80</v>
      </c>
      <c r="I23" s="14" t="s">
        <v>81</v>
      </c>
    </row>
    <row r="24" spans="2:10" ht="44.1" customHeight="1" x14ac:dyDescent="0.25">
      <c r="B24" s="15" t="s">
        <v>39</v>
      </c>
      <c r="C24" s="16" t="s">
        <v>82</v>
      </c>
      <c r="D24" s="9">
        <v>2</v>
      </c>
      <c r="E24" s="9">
        <v>3</v>
      </c>
      <c r="F24" s="9">
        <v>2</v>
      </c>
      <c r="G24" s="10" t="s">
        <v>83</v>
      </c>
      <c r="H24" s="10" t="s">
        <v>84</v>
      </c>
      <c r="I24" s="10" t="s">
        <v>85</v>
      </c>
    </row>
    <row r="25" spans="2:10" ht="44.1" customHeight="1" x14ac:dyDescent="0.25">
      <c r="B25" s="18" t="s">
        <v>39</v>
      </c>
      <c r="C25" s="19" t="s">
        <v>86</v>
      </c>
      <c r="D25" s="13">
        <v>4</v>
      </c>
      <c r="E25" s="13">
        <v>4</v>
      </c>
      <c r="F25" s="13">
        <v>5</v>
      </c>
      <c r="G25" s="14" t="s">
        <v>87</v>
      </c>
      <c r="H25" s="14" t="s">
        <v>88</v>
      </c>
      <c r="I25" s="14" t="s">
        <v>89</v>
      </c>
    </row>
    <row r="26" spans="2:10" ht="44.1" customHeight="1" x14ac:dyDescent="0.25">
      <c r="B26" s="15" t="s">
        <v>39</v>
      </c>
      <c r="C26" s="16" t="s">
        <v>90</v>
      </c>
      <c r="D26" s="9">
        <v>4</v>
      </c>
      <c r="E26" s="9">
        <v>4</v>
      </c>
      <c r="F26" s="9">
        <v>4</v>
      </c>
      <c r="G26" s="10" t="s">
        <v>91</v>
      </c>
      <c r="H26" s="10" t="s">
        <v>92</v>
      </c>
      <c r="I26" s="10" t="s">
        <v>93</v>
      </c>
    </row>
    <row r="27" spans="2:10" ht="5.0999999999999996" customHeight="1" x14ac:dyDescent="0.25">
      <c r="B27" s="17"/>
      <c r="C27" s="17"/>
      <c r="D27" s="17"/>
      <c r="E27" s="17"/>
      <c r="F27" s="17"/>
      <c r="G27" s="17"/>
      <c r="H27" s="17"/>
      <c r="I27" s="17"/>
      <c r="J27" s="17"/>
    </row>
    <row r="28" spans="2:10" ht="20.100000000000001" customHeight="1" x14ac:dyDescent="0.25">
      <c r="B28" s="56" t="s">
        <v>94</v>
      </c>
      <c r="C28" s="45"/>
      <c r="D28" s="45"/>
      <c r="E28" s="45"/>
      <c r="F28" s="45"/>
      <c r="G28" s="45"/>
      <c r="H28" s="45"/>
      <c r="I28" s="45"/>
    </row>
    <row r="29" spans="2:10" ht="44.1" customHeight="1" x14ac:dyDescent="0.25">
      <c r="B29" s="18" t="s">
        <v>39</v>
      </c>
      <c r="C29" s="19" t="s">
        <v>95</v>
      </c>
      <c r="D29" s="13">
        <v>4</v>
      </c>
      <c r="E29" s="13">
        <v>3</v>
      </c>
      <c r="F29" s="13">
        <v>4</v>
      </c>
      <c r="G29" s="14" t="s">
        <v>96</v>
      </c>
      <c r="H29" s="14" t="s">
        <v>97</v>
      </c>
      <c r="I29" s="14" t="s">
        <v>98</v>
      </c>
    </row>
    <row r="30" spans="2:10" ht="44.1" customHeight="1" x14ac:dyDescent="0.25">
      <c r="B30" s="15" t="s">
        <v>39</v>
      </c>
      <c r="C30" s="16" t="s">
        <v>99</v>
      </c>
      <c r="D30" s="9">
        <v>3</v>
      </c>
      <c r="E30" s="9">
        <v>3</v>
      </c>
      <c r="F30" s="9">
        <v>4</v>
      </c>
      <c r="G30" s="10" t="s">
        <v>100</v>
      </c>
      <c r="H30" s="10" t="s">
        <v>101</v>
      </c>
      <c r="I30" s="10" t="s">
        <v>102</v>
      </c>
    </row>
    <row r="31" spans="2:10" ht="44.1" customHeight="1" x14ac:dyDescent="0.25">
      <c r="B31" s="11" t="s">
        <v>30</v>
      </c>
      <c r="C31" s="12" t="s">
        <v>103</v>
      </c>
      <c r="D31" s="13">
        <v>2</v>
      </c>
      <c r="E31" s="13">
        <v>5</v>
      </c>
      <c r="F31" s="13">
        <v>2</v>
      </c>
      <c r="G31" s="14" t="s">
        <v>104</v>
      </c>
      <c r="H31" s="14" t="s">
        <v>105</v>
      </c>
      <c r="I31" s="14" t="s">
        <v>106</v>
      </c>
    </row>
    <row r="32" spans="2:10" ht="44.1" customHeight="1" x14ac:dyDescent="0.25">
      <c r="B32" s="7" t="s">
        <v>30</v>
      </c>
      <c r="C32" s="8" t="s">
        <v>107</v>
      </c>
      <c r="D32" s="9">
        <v>2</v>
      </c>
      <c r="E32" s="9">
        <v>2</v>
      </c>
      <c r="F32" s="9">
        <v>5</v>
      </c>
      <c r="G32" s="10" t="s">
        <v>108</v>
      </c>
      <c r="H32" s="10" t="s">
        <v>109</v>
      </c>
      <c r="I32" s="10" t="s">
        <v>110</v>
      </c>
    </row>
    <row r="33" spans="2:10" ht="44.1" customHeight="1" x14ac:dyDescent="0.25">
      <c r="B33" s="18" t="s">
        <v>39</v>
      </c>
      <c r="C33" s="19" t="s">
        <v>111</v>
      </c>
      <c r="D33" s="13">
        <v>4</v>
      </c>
      <c r="E33" s="13">
        <v>3</v>
      </c>
      <c r="F33" s="13">
        <v>4</v>
      </c>
      <c r="G33" s="14" t="s">
        <v>112</v>
      </c>
      <c r="H33" s="14" t="s">
        <v>113</v>
      </c>
      <c r="I33" s="14" t="s">
        <v>114</v>
      </c>
    </row>
    <row r="34" spans="2:10" ht="5.0999999999999996" customHeight="1" x14ac:dyDescent="0.25">
      <c r="B34" s="17"/>
      <c r="C34" s="17"/>
      <c r="D34" s="17"/>
      <c r="E34" s="17"/>
      <c r="F34" s="17"/>
      <c r="G34" s="17"/>
      <c r="H34" s="17"/>
      <c r="I34" s="17"/>
      <c r="J34" s="17"/>
    </row>
    <row r="35" spans="2:10" ht="20.100000000000001" customHeight="1" x14ac:dyDescent="0.25">
      <c r="B35" s="59" t="s">
        <v>115</v>
      </c>
      <c r="C35" s="45"/>
      <c r="D35" s="45"/>
      <c r="E35" s="45"/>
      <c r="F35" s="45"/>
      <c r="G35" s="45"/>
      <c r="H35" s="45"/>
      <c r="I35" s="45"/>
    </row>
    <row r="36" spans="2:10" ht="44.1" customHeight="1" x14ac:dyDescent="0.25">
      <c r="B36" s="7" t="s">
        <v>30</v>
      </c>
      <c r="C36" s="8" t="s">
        <v>116</v>
      </c>
      <c r="D36" s="9">
        <v>5</v>
      </c>
      <c r="E36" s="9">
        <v>4</v>
      </c>
      <c r="F36" s="9">
        <v>4</v>
      </c>
      <c r="G36" s="10" t="s">
        <v>117</v>
      </c>
      <c r="H36" s="10" t="s">
        <v>118</v>
      </c>
      <c r="I36" s="10" t="s">
        <v>119</v>
      </c>
    </row>
    <row r="37" spans="2:10" ht="44.1" customHeight="1" x14ac:dyDescent="0.25">
      <c r="B37" s="11" t="s">
        <v>30</v>
      </c>
      <c r="C37" s="12" t="s">
        <v>120</v>
      </c>
      <c r="D37" s="13">
        <v>3</v>
      </c>
      <c r="E37" s="13">
        <v>3</v>
      </c>
      <c r="F37" s="13">
        <v>3</v>
      </c>
      <c r="G37" s="14" t="s">
        <v>121</v>
      </c>
      <c r="H37" s="14" t="s">
        <v>122</v>
      </c>
      <c r="I37" s="14" t="s">
        <v>123</v>
      </c>
    </row>
    <row r="38" spans="2:10" ht="44.1" customHeight="1" x14ac:dyDescent="0.25">
      <c r="B38" s="15" t="s">
        <v>39</v>
      </c>
      <c r="C38" s="16" t="s">
        <v>124</v>
      </c>
      <c r="D38" s="9">
        <v>4</v>
      </c>
      <c r="E38" s="9">
        <v>4</v>
      </c>
      <c r="F38" s="9">
        <v>3</v>
      </c>
      <c r="G38" s="10" t="s">
        <v>125</v>
      </c>
      <c r="H38" s="10" t="s">
        <v>126</v>
      </c>
      <c r="I38" s="10" t="s">
        <v>127</v>
      </c>
    </row>
    <row r="39" spans="2:10" ht="44.1" customHeight="1" x14ac:dyDescent="0.25">
      <c r="B39" s="18" t="s">
        <v>39</v>
      </c>
      <c r="C39" s="19" t="s">
        <v>128</v>
      </c>
      <c r="D39" s="13">
        <v>5</v>
      </c>
      <c r="E39" s="13">
        <v>4</v>
      </c>
      <c r="F39" s="13">
        <v>4</v>
      </c>
      <c r="G39" s="14" t="s">
        <v>129</v>
      </c>
      <c r="H39" s="14" t="s">
        <v>130</v>
      </c>
      <c r="I39" s="14" t="s">
        <v>131</v>
      </c>
    </row>
    <row r="40" spans="2:10" ht="44.1" customHeight="1" x14ac:dyDescent="0.25">
      <c r="B40" s="15" t="s">
        <v>39</v>
      </c>
      <c r="C40" s="16" t="s">
        <v>132</v>
      </c>
      <c r="D40" s="9">
        <v>5</v>
      </c>
      <c r="E40" s="9">
        <v>4</v>
      </c>
      <c r="F40" s="9">
        <v>4</v>
      </c>
      <c r="G40" s="10" t="s">
        <v>133</v>
      </c>
      <c r="H40" s="10" t="s">
        <v>134</v>
      </c>
      <c r="I40" s="10" t="s">
        <v>135</v>
      </c>
    </row>
    <row r="41" spans="2:10" ht="5.0999999999999996" customHeight="1" x14ac:dyDescent="0.25">
      <c r="B41" s="17"/>
      <c r="C41" s="17"/>
      <c r="D41" s="17"/>
      <c r="E41" s="17"/>
      <c r="F41" s="17"/>
      <c r="G41" s="17"/>
      <c r="H41" s="17"/>
      <c r="I41" s="17"/>
      <c r="J41" s="17"/>
    </row>
    <row r="42" spans="2:10" ht="27.95" customHeight="1" x14ac:dyDescent="0.25">
      <c r="B42" s="20"/>
      <c r="C42" s="21" t="s">
        <v>136</v>
      </c>
      <c r="D42" s="22">
        <f>IFERROR(SUMPRODUCT((B7:B40="2x")*ISNUMBER(D7:D40)*IF(ISNUMBER(D7:D40),D7:D40,0)*2)+SUMPRODUCT((B7:B40="1x")*ISNUMBER(D7:D40)*IF(ISNUMBER(D7:D40),D7:D40,0)),"")</f>
        <v>0</v>
      </c>
      <c r="E42" s="22">
        <f>IFERROR(SUMPRODUCT((B7:B40="2x")*ISNUMBER(E7:E40)*IF(ISNUMBER(E7:E40),E7:E40,0)*2)+SUMPRODUCT((B7:B40="1x")*ISNUMBER(E7:E40)*IF(ISNUMBER(E7:E40),E7:E40,0)),"")</f>
        <v>0</v>
      </c>
      <c r="F42" s="22">
        <f>IFERROR(SUMPRODUCT((B7:B40="2x")*ISNUMBER(F7:F40)*IF(ISNUMBER(F7:F40),F7:F40,0)*2)+SUMPRODUCT((B7:B40="1x")*ISNUMBER(F7:F40)*IF(ISNUMBER(F7:F40),F7:F40,0)),"")</f>
        <v>0</v>
      </c>
      <c r="G42" s="20"/>
      <c r="H42" s="20"/>
      <c r="I42" s="20"/>
    </row>
    <row r="43" spans="2:10" ht="14.1" customHeight="1" x14ac:dyDescent="0.25">
      <c r="C43" s="57" t="s">
        <v>137</v>
      </c>
      <c r="D43" s="45"/>
      <c r="E43" s="45"/>
      <c r="F43" s="45"/>
      <c r="G43" s="45"/>
      <c r="H43" s="45"/>
      <c r="I43" s="45"/>
    </row>
  </sheetData>
  <mergeCells count="7">
    <mergeCell ref="B21:I21"/>
    <mergeCell ref="B7:I7"/>
    <mergeCell ref="B2:I2"/>
    <mergeCell ref="B28:I28"/>
    <mergeCell ref="C43:I43"/>
    <mergeCell ref="B14:I14"/>
    <mergeCell ref="B35:I35"/>
  </mergeCells>
  <conditionalFormatting sqref="D7:D40">
    <cfRule type="colorScale" priority="1">
      <colorScale>
        <cfvo type="num" val="1"/>
        <cfvo type="num" val="3"/>
        <cfvo type="num" val="5"/>
        <color rgb="FFFEE2E2"/>
        <color rgb="FFFEF3C7"/>
        <color rgb="FFD1FAE5"/>
      </colorScale>
    </cfRule>
  </conditionalFormatting>
  <conditionalFormatting sqref="E7:E40">
    <cfRule type="colorScale" priority="2">
      <colorScale>
        <cfvo type="num" val="1"/>
        <cfvo type="num" val="3"/>
        <cfvo type="num" val="5"/>
        <color rgb="FFFEE2E2"/>
        <color rgb="FFFEF3C7"/>
        <color rgb="FFD1FAE5"/>
      </colorScale>
    </cfRule>
  </conditionalFormatting>
  <conditionalFormatting sqref="F7:F40">
    <cfRule type="colorScale" priority="3">
      <colorScale>
        <cfvo type="num" val="1"/>
        <cfvo type="num" val="3"/>
        <cfvo type="num" val="5"/>
        <color rgb="FFFEE2E2"/>
        <color rgb="FFFEF3C7"/>
        <color rgb="FFD1FAE5"/>
      </colorScale>
    </cfRule>
  </conditionalFormatting>
  <dataValidations count="1">
    <dataValidation type="list" errorTitle="Invalid score" error="Please enter a score between 1 and 5" sqref="D8 D9 D10 D11 D12 D15 D16 D17 D18 D19 D22 D23 D24 D25 D26 D29 D30 D31 D32 D33 D36 D37 D38 D39 D40 E8 E9 E10 E11 E12 E15 E16 E17 E18 E19 E22 E23 E24 E25 E26 E29 E30 E31 E32 E33 E36 E37 E38 E39 E40 F8 F9 F10 F11 F12 F15 F16 F17 F18 F19 F22 F23 F24 F25 F26 F29 F30 F31 F32 F33 F36 F37 F38 F39 F40" xr:uid="{00000000-0002-0000-0100-000000000000}">
      <formula1>"1,2,3,4,5"</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showGridLines="0" workbookViewId="0"/>
  </sheetViews>
  <sheetFormatPr defaultRowHeight="15" x14ac:dyDescent="0.25"/>
  <cols>
    <col min="1" max="1" width="3" customWidth="1"/>
    <col min="2" max="2" width="38" customWidth="1"/>
    <col min="3" max="3" width="50" customWidth="1"/>
    <col min="4" max="4" width="3" customWidth="1"/>
  </cols>
  <sheetData>
    <row r="1" spans="1:4" ht="8.1" customHeight="1" x14ac:dyDescent="0.25">
      <c r="A1" s="1"/>
      <c r="B1" s="1"/>
      <c r="C1" s="1"/>
      <c r="D1" s="1"/>
    </row>
    <row r="2" spans="1:4" ht="44.1" customHeight="1" x14ac:dyDescent="0.25">
      <c r="A2" s="1"/>
      <c r="B2" s="55" t="s">
        <v>138</v>
      </c>
      <c r="C2" s="45"/>
      <c r="D2" s="1"/>
    </row>
    <row r="3" spans="1:4" ht="3.95" customHeight="1" x14ac:dyDescent="0.25">
      <c r="A3" s="2"/>
      <c r="B3" s="2"/>
      <c r="C3" s="2"/>
      <c r="D3" s="2"/>
    </row>
    <row r="4" spans="1:4" ht="8.1" customHeight="1" x14ac:dyDescent="0.25">
      <c r="A4" s="1"/>
      <c r="B4" s="1"/>
      <c r="C4" s="1"/>
      <c r="D4" s="1"/>
    </row>
    <row r="5" spans="1:4" ht="9.9499999999999993" customHeight="1" x14ac:dyDescent="0.25"/>
    <row r="6" spans="1:4" ht="20.100000000000001" customHeight="1" x14ac:dyDescent="0.25">
      <c r="A6" s="1"/>
      <c r="B6" s="23" t="s">
        <v>139</v>
      </c>
      <c r="C6" s="23" t="s">
        <v>140</v>
      </c>
      <c r="D6" s="1"/>
    </row>
    <row r="7" spans="1:4" ht="54" customHeight="1" x14ac:dyDescent="0.25">
      <c r="B7" s="24" t="s">
        <v>141</v>
      </c>
      <c r="C7" s="25" t="s">
        <v>142</v>
      </c>
    </row>
    <row r="8" spans="1:4" ht="54" customHeight="1" x14ac:dyDescent="0.25">
      <c r="B8" s="26" t="s">
        <v>143</v>
      </c>
      <c r="C8" s="27" t="s">
        <v>144</v>
      </c>
    </row>
    <row r="9" spans="1:4" ht="54" customHeight="1" x14ac:dyDescent="0.25">
      <c r="B9" s="24" t="s">
        <v>145</v>
      </c>
      <c r="C9" s="28" t="s">
        <v>146</v>
      </c>
    </row>
    <row r="10" spans="1:4" ht="54" customHeight="1" x14ac:dyDescent="0.25">
      <c r="B10" s="26" t="s">
        <v>147</v>
      </c>
      <c r="C10" s="29" t="s">
        <v>148</v>
      </c>
    </row>
    <row r="11" spans="1:4" ht="54" customHeight="1" x14ac:dyDescent="0.25">
      <c r="B11" s="24" t="s">
        <v>149</v>
      </c>
      <c r="C11" s="30" t="s">
        <v>150</v>
      </c>
    </row>
    <row r="12" spans="1:4" ht="54" customHeight="1" x14ac:dyDescent="0.25">
      <c r="B12" s="26" t="s">
        <v>151</v>
      </c>
      <c r="C12" s="31" t="s">
        <v>152</v>
      </c>
    </row>
    <row r="13" spans="1:4" ht="54" customHeight="1" x14ac:dyDescent="0.25">
      <c r="B13" s="24" t="s">
        <v>153</v>
      </c>
      <c r="C13" s="25" t="s">
        <v>154</v>
      </c>
    </row>
    <row r="14" spans="1:4" ht="54" customHeight="1" x14ac:dyDescent="0.25">
      <c r="B14" s="26" t="s">
        <v>155</v>
      </c>
      <c r="C14" s="32" t="s">
        <v>156</v>
      </c>
    </row>
    <row r="15" spans="1:4" ht="20.100000000000001" customHeight="1" x14ac:dyDescent="0.25">
      <c r="A15" s="33"/>
      <c r="B15" s="34" t="s">
        <v>157</v>
      </c>
      <c r="C15" s="34" t="s">
        <v>158</v>
      </c>
      <c r="D15" s="33"/>
    </row>
    <row r="16" spans="1:4" ht="54" customHeight="1" x14ac:dyDescent="0.25">
      <c r="B16" s="26" t="s">
        <v>159</v>
      </c>
      <c r="C16" s="32" t="s">
        <v>160</v>
      </c>
    </row>
    <row r="17" spans="2:3" ht="9.9499999999999993" customHeight="1" x14ac:dyDescent="0.25"/>
    <row r="18" spans="2:3" ht="20.100000000000001" customHeight="1" x14ac:dyDescent="0.25">
      <c r="B18" s="60" t="s">
        <v>161</v>
      </c>
      <c r="C18" s="45"/>
    </row>
  </sheetData>
  <mergeCells count="2">
    <mergeCell ref="B18:C18"/>
    <mergeCell ref="B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showGridLines="0" workbookViewId="0"/>
  </sheetViews>
  <sheetFormatPr defaultRowHeight="15" x14ac:dyDescent="0.25"/>
  <cols>
    <col min="1" max="1" width="3" customWidth="1"/>
    <col min="2" max="2" width="40" customWidth="1"/>
    <col min="3" max="6" width="20" customWidth="1"/>
    <col min="7" max="7" width="3" customWidth="1"/>
  </cols>
  <sheetData>
    <row r="1" spans="1:7" ht="8.1" customHeight="1" x14ac:dyDescent="0.25">
      <c r="A1" s="1"/>
      <c r="B1" s="1"/>
      <c r="C1" s="1"/>
      <c r="D1" s="1"/>
      <c r="E1" s="1"/>
      <c r="F1" s="1"/>
      <c r="G1" s="1"/>
    </row>
    <row r="2" spans="1:7" ht="44.1" customHeight="1" x14ac:dyDescent="0.25">
      <c r="A2" s="1"/>
      <c r="B2" s="55" t="s">
        <v>162</v>
      </c>
      <c r="C2" s="45"/>
      <c r="D2" s="45"/>
      <c r="E2" s="45"/>
      <c r="F2" s="45"/>
      <c r="G2" s="1"/>
    </row>
    <row r="3" spans="1:7" ht="3.95" customHeight="1" x14ac:dyDescent="0.25">
      <c r="A3" s="2"/>
      <c r="B3" s="2"/>
      <c r="C3" s="2"/>
      <c r="D3" s="2"/>
      <c r="E3" s="2"/>
      <c r="F3" s="2"/>
      <c r="G3" s="2"/>
    </row>
    <row r="4" spans="1:7" ht="8.1" customHeight="1" x14ac:dyDescent="0.25">
      <c r="A4" s="1"/>
      <c r="B4" s="1"/>
      <c r="C4" s="1"/>
      <c r="D4" s="1"/>
      <c r="E4" s="1"/>
      <c r="F4" s="1"/>
      <c r="G4" s="1"/>
    </row>
    <row r="5" spans="1:7" ht="9.9499999999999993" customHeight="1" x14ac:dyDescent="0.25"/>
    <row r="6" spans="1:7" ht="27.95" customHeight="1" x14ac:dyDescent="0.25">
      <c r="B6" s="61" t="s">
        <v>163</v>
      </c>
      <c r="C6" s="45"/>
      <c r="D6" s="45"/>
      <c r="E6" s="45"/>
      <c r="F6" s="45"/>
    </row>
    <row r="7" spans="1:7" ht="8.1" customHeight="1" x14ac:dyDescent="0.25"/>
    <row r="8" spans="1:7" ht="21.95" customHeight="1" x14ac:dyDescent="0.25">
      <c r="B8" s="35" t="s">
        <v>164</v>
      </c>
      <c r="C8" s="35" t="s">
        <v>165</v>
      </c>
      <c r="D8" s="35" t="s">
        <v>166</v>
      </c>
      <c r="E8" s="35" t="s">
        <v>167</v>
      </c>
      <c r="F8" s="35" t="s">
        <v>168</v>
      </c>
    </row>
    <row r="9" spans="1:7" ht="24" customHeight="1" x14ac:dyDescent="0.25">
      <c r="B9" s="36" t="s">
        <v>169</v>
      </c>
      <c r="C9" s="37">
        <v>5</v>
      </c>
      <c r="D9" s="38">
        <f>IFERROR(SUMPRODUCT(('Comparison Matrix'!B8:B12="2x")*ISNUMBER('Comparison Matrix'!D8:'Comparison Matrix'!D12)*IF(ISNUMBER('Comparison Matrix'!D8:'Comparison Matrix'!D12),'Comparison Matrix'!D8:'Comparison Matrix'!D12,0)*2)+SUMPRODUCT(('Comparison Matrix'!B8:B12="1x")*ISNUMBER('Comparison Matrix'!D8:'Comparison Matrix'!D12)*IF(ISNUMBER('Comparison Matrix'!D8:'Comparison Matrix'!D12),'Comparison Matrix'!D8:'Comparison Matrix'!D12,0)),"-")</f>
        <v>35</v>
      </c>
      <c r="E9" s="38">
        <f>IFERROR(SUMPRODUCT(('Comparison Matrix'!B8:B12="2x")*ISNUMBER('Comparison Matrix'!E8:'Comparison Matrix'!E12)*IF(ISNUMBER('Comparison Matrix'!E8:'Comparison Matrix'!E12),'Comparison Matrix'!E8:'Comparison Matrix'!E12,0)*2)+SUMPRODUCT(('Comparison Matrix'!B8:B12="1x")*ISNUMBER('Comparison Matrix'!E8:'Comparison Matrix'!E12)*IF(ISNUMBER('Comparison Matrix'!E8:'Comparison Matrix'!E12),'Comparison Matrix'!E8:'Comparison Matrix'!E12,0)),"-")</f>
        <v>33</v>
      </c>
      <c r="F9" s="38">
        <f>IFERROR(SUMPRODUCT(('Comparison Matrix'!B8:B12="2x")*ISNUMBER('Comparison Matrix'!F8:'Comparison Matrix'!F12)*IF(ISNUMBER('Comparison Matrix'!F8:'Comparison Matrix'!F12),'Comparison Matrix'!F8:'Comparison Matrix'!F12,0)*2)+SUMPRODUCT(('Comparison Matrix'!B8:B12="1x")*ISNUMBER('Comparison Matrix'!F8:'Comparison Matrix'!F12)*IF(ISNUMBER('Comparison Matrix'!F8:'Comparison Matrix'!F12),'Comparison Matrix'!F8:'Comparison Matrix'!F12,0)),"-")</f>
        <v>27</v>
      </c>
    </row>
    <row r="10" spans="1:7" ht="24" customHeight="1" x14ac:dyDescent="0.25">
      <c r="B10" s="39" t="s">
        <v>170</v>
      </c>
      <c r="C10" s="37">
        <v>4</v>
      </c>
      <c r="D10" s="40">
        <f>IFERROR(SUMPRODUCT(('Comparison Matrix'!B15:B19="2x")*ISNUMBER('Comparison Matrix'!D15:'Comparison Matrix'!D19)*IF(ISNUMBER('Comparison Matrix'!D15:'Comparison Matrix'!D19),'Comparison Matrix'!D15:'Comparison Matrix'!D19,0)*2)+SUMPRODUCT(('Comparison Matrix'!B15:B19="1x")*ISNUMBER('Comparison Matrix'!D15:'Comparison Matrix'!D19)*IF(ISNUMBER('Comparison Matrix'!D15:'Comparison Matrix'!D19),'Comparison Matrix'!D15:'Comparison Matrix'!D19,0)),"-")</f>
        <v>0</v>
      </c>
      <c r="E10" s="40">
        <f>IFERROR(SUMPRODUCT(('Comparison Matrix'!B15:B19="2x")*ISNUMBER('Comparison Matrix'!E15:'Comparison Matrix'!E19)*IF(ISNUMBER('Comparison Matrix'!E15:'Comparison Matrix'!E19),'Comparison Matrix'!E15:'Comparison Matrix'!E19,0)*2)+SUMPRODUCT(('Comparison Matrix'!B15:B19="1x")*ISNUMBER('Comparison Matrix'!E15:'Comparison Matrix'!E19)*IF(ISNUMBER('Comparison Matrix'!E15:'Comparison Matrix'!E19),'Comparison Matrix'!E15:'Comparison Matrix'!E19,0)),"-")</f>
        <v>0</v>
      </c>
      <c r="F10" s="40">
        <f>IFERROR(SUMPRODUCT(('Comparison Matrix'!B15:B19="2x")*ISNUMBER('Comparison Matrix'!F15:'Comparison Matrix'!F19)*IF(ISNUMBER('Comparison Matrix'!F15:'Comparison Matrix'!F19),'Comparison Matrix'!F15:'Comparison Matrix'!F19,0)*2)+SUMPRODUCT(('Comparison Matrix'!B15:B19="1x")*ISNUMBER('Comparison Matrix'!F15:'Comparison Matrix'!F19)*IF(ISNUMBER('Comparison Matrix'!F15:'Comparison Matrix'!F19),'Comparison Matrix'!F15:'Comparison Matrix'!F19,0)),"-")</f>
        <v>0</v>
      </c>
    </row>
    <row r="11" spans="1:7" ht="24" customHeight="1" x14ac:dyDescent="0.25">
      <c r="B11" s="36" t="s">
        <v>171</v>
      </c>
      <c r="C11" s="37">
        <v>4</v>
      </c>
      <c r="D11" s="38">
        <f>IFERROR(SUMPRODUCT(('Comparison Matrix'!B22:B26="2x")*ISNUMBER('Comparison Matrix'!D22:'Comparison Matrix'!D26)*IF(ISNUMBER('Comparison Matrix'!D22:'Comparison Matrix'!D26),'Comparison Matrix'!D22:'Comparison Matrix'!D26,0)*2)+SUMPRODUCT(('Comparison Matrix'!B22:B26="1x")*ISNUMBER('Comparison Matrix'!D22:'Comparison Matrix'!D26)*IF(ISNUMBER('Comparison Matrix'!D22:'Comparison Matrix'!D26),'Comparison Matrix'!D22:'Comparison Matrix'!D26,0)),"-")</f>
        <v>0</v>
      </c>
      <c r="E11" s="38">
        <f>IFERROR(SUMPRODUCT(('Comparison Matrix'!B22:B26="2x")*ISNUMBER('Comparison Matrix'!E22:'Comparison Matrix'!E26)*IF(ISNUMBER('Comparison Matrix'!E22:'Comparison Matrix'!E26),'Comparison Matrix'!E22:'Comparison Matrix'!E26,0)*2)+SUMPRODUCT(('Comparison Matrix'!B22:B26="1x")*ISNUMBER('Comparison Matrix'!E22:'Comparison Matrix'!E26)*IF(ISNUMBER('Comparison Matrix'!E22:'Comparison Matrix'!E26),'Comparison Matrix'!E22:'Comparison Matrix'!E26,0)),"-")</f>
        <v>0</v>
      </c>
      <c r="F11" s="38">
        <f>IFERROR(SUMPRODUCT(('Comparison Matrix'!B22:B26="2x")*ISNUMBER('Comparison Matrix'!F22:'Comparison Matrix'!F26)*IF(ISNUMBER('Comparison Matrix'!F22:'Comparison Matrix'!F26),'Comparison Matrix'!F22:'Comparison Matrix'!F26,0)*2)+SUMPRODUCT(('Comparison Matrix'!B22:B26="1x")*ISNUMBER('Comparison Matrix'!F22:'Comparison Matrix'!F26)*IF(ISNUMBER('Comparison Matrix'!F22:'Comparison Matrix'!F26),'Comparison Matrix'!F22:'Comparison Matrix'!F26,0)),"-")</f>
        <v>0</v>
      </c>
    </row>
    <row r="12" spans="1:7" ht="24" customHeight="1" x14ac:dyDescent="0.25">
      <c r="B12" s="39" t="s">
        <v>172</v>
      </c>
      <c r="C12" s="37">
        <v>3</v>
      </c>
      <c r="D12" s="40">
        <f>IFERROR(SUMPRODUCT(('Comparison Matrix'!B29:B33="2x")*ISNUMBER('Comparison Matrix'!D29:'Comparison Matrix'!D33)*IF(ISNUMBER('Comparison Matrix'!D29:'Comparison Matrix'!D33),'Comparison Matrix'!D29:'Comparison Matrix'!D33,0)*2)+SUMPRODUCT(('Comparison Matrix'!B29:B33="1x")*ISNUMBER('Comparison Matrix'!D29:'Comparison Matrix'!D33)*IF(ISNUMBER('Comparison Matrix'!D29:'Comparison Matrix'!D33),'Comparison Matrix'!D29:'Comparison Matrix'!D33,0)),"-")</f>
        <v>0</v>
      </c>
      <c r="E12" s="40">
        <f>IFERROR(SUMPRODUCT(('Comparison Matrix'!B29:B33="2x")*ISNUMBER('Comparison Matrix'!E29:'Comparison Matrix'!E33)*IF(ISNUMBER('Comparison Matrix'!E29:'Comparison Matrix'!E33),'Comparison Matrix'!E29:'Comparison Matrix'!E33,0)*2)+SUMPRODUCT(('Comparison Matrix'!B29:B33="1x")*ISNUMBER('Comparison Matrix'!E29:'Comparison Matrix'!E33)*IF(ISNUMBER('Comparison Matrix'!E29:'Comparison Matrix'!E33),'Comparison Matrix'!E29:'Comparison Matrix'!E33,0)),"-")</f>
        <v>0</v>
      </c>
      <c r="F12" s="40">
        <f>IFERROR(SUMPRODUCT(('Comparison Matrix'!B29:B33="2x")*ISNUMBER('Comparison Matrix'!F29:'Comparison Matrix'!F33)*IF(ISNUMBER('Comparison Matrix'!F29:'Comparison Matrix'!F33),'Comparison Matrix'!F29:'Comparison Matrix'!F33,0)*2)+SUMPRODUCT(('Comparison Matrix'!B29:B33="1x")*ISNUMBER('Comparison Matrix'!F29:'Comparison Matrix'!F33)*IF(ISNUMBER('Comparison Matrix'!F29:'Comparison Matrix'!F33),'Comparison Matrix'!F29:'Comparison Matrix'!F33,0)),"-")</f>
        <v>0</v>
      </c>
    </row>
    <row r="13" spans="1:7" ht="24" customHeight="1" x14ac:dyDescent="0.25">
      <c r="B13" s="36" t="s">
        <v>173</v>
      </c>
      <c r="C13" s="37">
        <v>4</v>
      </c>
      <c r="D13" s="38">
        <f>IFERROR(SUMPRODUCT(('Comparison Matrix'!B36:B40="2x")*ISNUMBER('Comparison Matrix'!D36:'Comparison Matrix'!D40)*IF(ISNUMBER('Comparison Matrix'!D36:'Comparison Matrix'!D40),'Comparison Matrix'!D36:'Comparison Matrix'!D40,0)*2)+SUMPRODUCT(('Comparison Matrix'!B36:B40="1x")*ISNUMBER('Comparison Matrix'!D36:'Comparison Matrix'!D40)*IF(ISNUMBER('Comparison Matrix'!D36:'Comparison Matrix'!D40),'Comparison Matrix'!D36:'Comparison Matrix'!D40,0)),"-")</f>
        <v>0</v>
      </c>
      <c r="E13" s="38">
        <f>IFERROR(SUMPRODUCT(('Comparison Matrix'!B36:B40="2x")*ISNUMBER('Comparison Matrix'!E36:'Comparison Matrix'!E40)*IF(ISNUMBER('Comparison Matrix'!E36:'Comparison Matrix'!E40),'Comparison Matrix'!E36:'Comparison Matrix'!E40,0)*2)+SUMPRODUCT(('Comparison Matrix'!B36:B40="1x")*ISNUMBER('Comparison Matrix'!E36:'Comparison Matrix'!E40)*IF(ISNUMBER('Comparison Matrix'!E36:'Comparison Matrix'!E40),'Comparison Matrix'!E36:'Comparison Matrix'!E40,0)),"-")</f>
        <v>0</v>
      </c>
      <c r="F13" s="38">
        <f>IFERROR(SUMPRODUCT(('Comparison Matrix'!B36:B40="2x")*ISNUMBER('Comparison Matrix'!F36:'Comparison Matrix'!F40)*IF(ISNUMBER('Comparison Matrix'!F36:'Comparison Matrix'!F40),'Comparison Matrix'!F36:'Comparison Matrix'!F40,0)*2)+SUMPRODUCT(('Comparison Matrix'!B36:B40="1x")*ISNUMBER('Comparison Matrix'!F36:'Comparison Matrix'!F40)*IF(ISNUMBER('Comparison Matrix'!F36:'Comparison Matrix'!F40),'Comparison Matrix'!F36:'Comparison Matrix'!F40,0)),"-")</f>
        <v>0</v>
      </c>
    </row>
    <row r="14" spans="1:7" ht="26.1" customHeight="1" x14ac:dyDescent="0.25">
      <c r="B14" s="41" t="s">
        <v>174</v>
      </c>
      <c r="C14" s="42"/>
      <c r="D14" s="43">
        <f>IFERROR(C9*D9+C10*D10+C11*D11+C12*D12+C13*D13,-1)</f>
        <v>175</v>
      </c>
      <c r="E14" s="43">
        <f>IFERROR(C9*E9+C10*E10+C11*E11+C12*E12+C13*E13,-1)</f>
        <v>165</v>
      </c>
      <c r="F14" s="43">
        <f>IFERROR(C9*F9+C10*F10+C11*F11+C12*F12+C13*F13,-1)</f>
        <v>135</v>
      </c>
    </row>
    <row r="16" spans="1:7" ht="27.95" customHeight="1" x14ac:dyDescent="0.25">
      <c r="B16" s="60" t="s">
        <v>175</v>
      </c>
      <c r="C16" s="45"/>
      <c r="D16" s="45"/>
      <c r="E16" s="45"/>
      <c r="F16" s="45"/>
    </row>
  </sheetData>
  <mergeCells count="3">
    <mergeCell ref="B2:F2"/>
    <mergeCell ref="B16:F16"/>
    <mergeCell ref="B6:F6"/>
  </mergeCells>
  <dataValidations count="1">
    <dataValidation type="list" sqref="C9 C10 C11 C12 C13" xr:uid="{00000000-0002-0000-0300-000000000000}">
      <formula1>"1,2,3,4,5"</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Comparison Matrix</vt:lpstr>
      <vt:lpstr>Best-Fit Guide</vt:lpstr>
      <vt:lpstr>My Priorities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midragul</cp:lastModifiedBy>
  <dcterms:created xsi:type="dcterms:W3CDTF">2026-06-08T04:38:20Z</dcterms:created>
  <dcterms:modified xsi:type="dcterms:W3CDTF">2026-06-08T04:56:22Z</dcterms:modified>
</cp:coreProperties>
</file>