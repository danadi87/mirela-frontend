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Scorecard" sheetId="2" state="visible" r:id="rId2"/>
    <sheet xmlns:r="http://schemas.openxmlformats.org/officeDocument/2006/relationships" name="Summary" sheetId="3" state="visible" r:id="rId3"/>
    <sheet xmlns:r="http://schemas.openxmlformats.org/officeDocument/2006/relationships" name="Gap Analysi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5">
    <font>
      <name val="Calibri"/>
      <family val="2"/>
      <color theme="1"/>
      <sz val="11"/>
      <scheme val="minor"/>
    </font>
    <font>
      <name val="Arial"/>
      <b val="1"/>
      <color rgb="00FFFFFF"/>
      <sz val="18"/>
    </font>
    <font>
      <name val="Arial"/>
      <b val="1"/>
      <color rgb="00FFFFFF"/>
      <sz val="10"/>
    </font>
    <font>
      <name val="Arial"/>
      <color rgb="002D3748"/>
      <sz val="9.5"/>
    </font>
    <font>
      <name val="Arial"/>
      <b val="1"/>
      <color rgb="00C07A2D"/>
      <sz val="10"/>
    </font>
    <font>
      <name val="Arial"/>
      <color rgb="002D3748"/>
      <sz val="9"/>
    </font>
    <font>
      <name val="Arial"/>
      <b val="1"/>
      <color rgb="000D1B2A"/>
      <sz val="10"/>
    </font>
    <font>
      <name val="Arial"/>
      <b val="1"/>
      <color rgb="002D3748"/>
      <sz val="9.5"/>
    </font>
    <font>
      <name val="Arial"/>
      <b val="1"/>
      <color rgb="000D1B2A"/>
      <sz val="10.5"/>
    </font>
    <font>
      <name val="Arial"/>
      <b val="1"/>
      <color rgb="00FFFFFF"/>
      <sz val="16"/>
    </font>
    <font>
      <name val="Arial"/>
      <b val="1"/>
      <color rgb="0064748B"/>
      <sz val="9"/>
    </font>
    <font>
      <name val="Arial"/>
      <b val="1"/>
      <color rgb="00C07A2D"/>
      <sz val="9"/>
    </font>
    <font>
      <name val="Arial"/>
      <b val="1"/>
      <color rgb="00FFFFFF"/>
      <sz val="8.5"/>
    </font>
    <font>
      <name val="Arial"/>
      <b val="1"/>
      <color rgb="00FFFFFF"/>
      <sz val="9.5"/>
    </font>
    <font>
      <name val="Arial"/>
      <color rgb="0064748B"/>
      <sz val="8"/>
    </font>
    <font>
      <name val="Arial"/>
      <b val="1"/>
      <color rgb="002D3748"/>
      <sz val="8.5"/>
    </font>
    <font>
      <name val="Arial"/>
      <b val="1"/>
      <color rgb="00C07A2D"/>
      <sz val="8"/>
    </font>
    <font>
      <name val="Arial"/>
      <b val="1"/>
      <color rgb="000D1B2A"/>
      <sz val="11"/>
    </font>
    <font>
      <name val="Arial"/>
      <i val="1"/>
      <color rgb="0064748B"/>
      <sz val="8"/>
    </font>
    <font>
      <name val="Arial"/>
      <color rgb="002D3748"/>
      <sz val="8.5"/>
    </font>
    <font>
      <name val="Arial"/>
      <b val="1"/>
      <color rgb="00C07A2D"/>
      <sz val="13"/>
    </font>
    <font>
      <name val="Arial"/>
      <b val="1"/>
      <color rgb="00C07A2D"/>
      <sz val="14"/>
    </font>
    <font>
      <name val="Arial"/>
      <b val="1"/>
      <color rgb="00FFFFFF"/>
      <sz val="9"/>
    </font>
    <font>
      <name val="Arial"/>
      <i val="1"/>
      <color rgb="0064748B"/>
      <sz val="9"/>
    </font>
    <font>
      <name val="Arial"/>
      <color rgb="00C07A2D"/>
      <sz val="8"/>
    </font>
  </fonts>
  <fills count="13">
    <fill>
      <patternFill/>
    </fill>
    <fill>
      <patternFill patternType="gray125"/>
    </fill>
    <fill>
      <patternFill patternType="solid">
        <fgColor rgb="000D1B2A"/>
      </patternFill>
    </fill>
    <fill>
      <patternFill patternType="solid">
        <fgColor rgb="00C07A2D"/>
      </patternFill>
    </fill>
    <fill>
      <patternFill patternType="solid">
        <fgColor rgb="001A3C5E"/>
      </patternFill>
    </fill>
    <fill>
      <patternFill patternType="solid">
        <fgColor rgb="00FFFFFF"/>
      </patternFill>
    </fill>
    <fill>
      <patternFill patternType="solid">
        <fgColor rgb="00FEF3C7"/>
      </patternFill>
    </fill>
    <fill>
      <patternFill patternType="solid">
        <fgColor rgb="00F7F3ED"/>
      </patternFill>
    </fill>
    <fill>
      <patternFill patternType="solid">
        <fgColor rgb="00F8F9FA"/>
      </patternFill>
    </fill>
    <fill>
      <patternFill patternType="solid">
        <fgColor rgb="000D6E6E"/>
      </patternFill>
    </fill>
    <fill>
      <patternFill patternType="solid">
        <fgColor rgb="001E6B4A"/>
      </patternFill>
    </fill>
    <fill>
      <patternFill patternType="solid">
        <fgColor rgb="006B21A8"/>
      </patternFill>
    </fill>
    <fill>
      <patternFill patternType="solid">
        <fgColor rgb="00991B1B"/>
      </patternFill>
    </fill>
  </fills>
  <borders count="4">
    <border>
      <left/>
      <right/>
      <top/>
      <bottom/>
      <diagonal/>
    </border>
    <border>
      <left style="thin">
        <color rgb="00CBD5E0"/>
      </left>
      <right style="thin">
        <color rgb="00CBD5E0"/>
      </right>
      <top style="thin">
        <color rgb="00CBD5E0"/>
      </top>
      <bottom style="thin">
        <color rgb="00CBD5E0"/>
      </bottom>
    </border>
    <border>
      <left style="thin">
        <color rgb="00CBD5E0"/>
      </left>
      <right style="thin">
        <color rgb="00CBD5E0"/>
      </right>
      <top style="thin">
        <color rgb="00CBD5E0"/>
      </top>
      <bottom style="medium">
        <color rgb="001A3C5E"/>
      </bottom>
    </border>
    <border>
      <left style="medium">
        <color rgb="000D1B2A"/>
      </left>
      <right style="medium">
        <color rgb="000D1B2A"/>
      </right>
      <top style="medium">
        <color rgb="000D1B2A"/>
      </top>
      <bottom style="medium">
        <color rgb="000D1B2A"/>
      </bottom>
    </border>
  </borders>
  <cellStyleXfs count="1">
    <xf numFmtId="0" fontId="0" fillId="0" borderId="0"/>
  </cellStyleXfs>
  <cellXfs count="64">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0" fillId="3" borderId="0" pivotButton="0" quotePrefix="0" xfId="0"/>
    <xf numFmtId="0" fontId="2" fillId="4" borderId="0" applyAlignment="1" pivotButton="0" quotePrefix="0" xfId="0">
      <alignment horizontal="left" vertical="center"/>
    </xf>
    <xf numFmtId="0" fontId="3" fillId="5" borderId="1" applyAlignment="1" pivotButton="0" quotePrefix="0" xfId="0">
      <alignment horizontal="left" vertical="center"/>
    </xf>
    <xf numFmtId="0" fontId="4" fillId="6" borderId="2" applyAlignment="1" pivotButton="0" quotePrefix="0" xfId="0">
      <alignment horizontal="left" vertical="center"/>
    </xf>
    <xf numFmtId="0" fontId="3" fillId="7" borderId="1" applyAlignment="1" pivotButton="0" quotePrefix="0" xfId="0">
      <alignment horizontal="left" vertical="center"/>
    </xf>
    <xf numFmtId="0" fontId="5" fillId="7" borderId="1" applyAlignment="1" pivotButton="0" quotePrefix="0" xfId="0">
      <alignment horizontal="left" vertical="center"/>
    </xf>
    <xf numFmtId="9" fontId="6" fillId="6" borderId="2" applyAlignment="1" pivotButton="0" quotePrefix="0" xfId="0">
      <alignment horizontal="center" vertical="center"/>
    </xf>
    <xf numFmtId="0" fontId="5" fillId="5" borderId="1" applyAlignment="1" pivotButton="0" quotePrefix="0" xfId="0">
      <alignment horizontal="left" vertical="center"/>
    </xf>
    <xf numFmtId="0" fontId="7" fillId="7" borderId="1" applyAlignment="1" pivotButton="0" quotePrefix="0" xfId="0">
      <alignment horizontal="left" vertical="center"/>
    </xf>
    <xf numFmtId="9" fontId="6" fillId="7" borderId="3" applyAlignment="1" pivotButton="0" quotePrefix="0" xfId="0">
      <alignment horizontal="center" vertical="center"/>
    </xf>
    <xf numFmtId="0" fontId="8" fillId="8" borderId="0" applyAlignment="1" pivotButton="0" quotePrefix="0" xfId="0">
      <alignment horizontal="left" vertical="center"/>
    </xf>
    <xf numFmtId="0" fontId="5" fillId="8" borderId="0" applyAlignment="1" pivotButton="0" quotePrefix="0" xfId="0">
      <alignment horizontal="left" vertical="center"/>
    </xf>
    <xf numFmtId="0" fontId="3" fillId="8" borderId="0" applyAlignment="1" pivotButton="0" quotePrefix="0" xfId="0">
      <alignment horizontal="left" vertical="center"/>
    </xf>
    <xf numFmtId="0" fontId="7" fillId="8" borderId="0" applyAlignment="1" pivotButton="0" quotePrefix="0" xfId="0">
      <alignment horizontal="left" vertical="center"/>
    </xf>
    <xf numFmtId="0" fontId="9" fillId="2" borderId="0" applyAlignment="1" pivotButton="0" quotePrefix="0" xfId="0">
      <alignment horizontal="left" vertical="center"/>
    </xf>
    <xf numFmtId="0" fontId="0" fillId="7" borderId="2" pivotButton="0" quotePrefix="0" xfId="0"/>
    <xf numFmtId="0" fontId="10" fillId="7" borderId="2" applyAlignment="1" pivotButton="0" quotePrefix="0" xfId="0">
      <alignment horizontal="center" vertical="center"/>
    </xf>
    <xf numFmtId="0" fontId="11" fillId="6" borderId="2" applyAlignment="1" pivotButton="0" quotePrefix="0" xfId="0">
      <alignment horizontal="center" vertical="center"/>
    </xf>
    <xf numFmtId="0" fontId="12" fillId="4" borderId="1" applyAlignment="1" pivotButton="0" quotePrefix="0" xfId="0">
      <alignment horizontal="center" vertical="center"/>
    </xf>
    <xf numFmtId="0" fontId="13" fillId="4" borderId="0" applyAlignment="1" pivotButton="0" quotePrefix="0" xfId="0">
      <alignment horizontal="left" vertical="center"/>
    </xf>
    <xf numFmtId="0" fontId="14" fillId="5" borderId="1" applyAlignment="1" pivotButton="0" quotePrefix="0" xfId="0">
      <alignment horizontal="center" vertical="center"/>
    </xf>
    <xf numFmtId="0" fontId="15" fillId="5" borderId="1" applyAlignment="1" pivotButton="0" quotePrefix="0" xfId="0">
      <alignment horizontal="left" vertical="center" wrapText="1"/>
    </xf>
    <xf numFmtId="0" fontId="16" fillId="5" borderId="1" applyAlignment="1" pivotButton="0" quotePrefix="0" xfId="0">
      <alignment horizontal="center" vertical="center"/>
    </xf>
    <xf numFmtId="0" fontId="17" fillId="5" borderId="1" applyAlignment="1" pivotButton="0" quotePrefix="0" xfId="0">
      <alignment horizontal="center" vertical="center"/>
    </xf>
    <xf numFmtId="0" fontId="18" fillId="5" borderId="1" applyAlignment="1" pivotButton="0" quotePrefix="0" xfId="0">
      <alignment horizontal="left" vertical="center" wrapText="1"/>
    </xf>
    <xf numFmtId="0" fontId="14" fillId="7" borderId="1" applyAlignment="1" pivotButton="0" quotePrefix="0" xfId="0">
      <alignment horizontal="center" vertical="center"/>
    </xf>
    <xf numFmtId="0" fontId="15" fillId="7" borderId="1" applyAlignment="1" pivotButton="0" quotePrefix="0" xfId="0">
      <alignment horizontal="left" vertical="center" wrapText="1"/>
    </xf>
    <xf numFmtId="0" fontId="16" fillId="7" borderId="1" applyAlignment="1" pivotButton="0" quotePrefix="0" xfId="0">
      <alignment horizontal="center" vertical="center"/>
    </xf>
    <xf numFmtId="0" fontId="17" fillId="7" borderId="1" applyAlignment="1" pivotButton="0" quotePrefix="0" xfId="0">
      <alignment horizontal="center" vertical="center"/>
    </xf>
    <xf numFmtId="0" fontId="18" fillId="7" borderId="1" applyAlignment="1" pivotButton="0" quotePrefix="0" xfId="0">
      <alignment horizontal="left" vertical="center" wrapText="1"/>
    </xf>
    <xf numFmtId="0" fontId="19" fillId="5" borderId="1" applyAlignment="1" pivotButton="0" quotePrefix="0" xfId="0">
      <alignment horizontal="left" vertical="center" wrapText="1"/>
    </xf>
    <xf numFmtId="0" fontId="19" fillId="7" borderId="1" applyAlignment="1" pivotButton="0" quotePrefix="0" xfId="0">
      <alignment horizontal="left" vertical="center" wrapText="1"/>
    </xf>
    <xf numFmtId="0" fontId="0" fillId="5" borderId="0" pivotButton="0" quotePrefix="0" xfId="0"/>
    <xf numFmtId="0" fontId="13" fillId="9" borderId="0" applyAlignment="1" pivotButton="0" quotePrefix="0" xfId="0">
      <alignment horizontal="left" vertical="center"/>
    </xf>
    <xf numFmtId="0" fontId="13" fillId="10" borderId="0" applyAlignment="1" pivotButton="0" quotePrefix="0" xfId="0">
      <alignment horizontal="left" vertical="center"/>
    </xf>
    <xf numFmtId="0" fontId="13" fillId="11" borderId="0" applyAlignment="1" pivotButton="0" quotePrefix="0" xfId="0">
      <alignment horizontal="left" vertical="center"/>
    </xf>
    <xf numFmtId="0" fontId="13" fillId="3" borderId="0" applyAlignment="1" pivotButton="0" quotePrefix="0" xfId="0">
      <alignment horizontal="left" vertical="center"/>
    </xf>
    <xf numFmtId="0" fontId="13" fillId="12" borderId="0" applyAlignment="1" pivotButton="0" quotePrefix="0" xfId="0">
      <alignment horizontal="left" vertical="center"/>
    </xf>
    <xf numFmtId="0" fontId="0" fillId="2" borderId="3" pivotButton="0" quotePrefix="0" xfId="0"/>
    <xf numFmtId="0" fontId="2" fillId="2" borderId="0" applyAlignment="1" pivotButton="0" quotePrefix="0" xfId="0">
      <alignment horizontal="left" vertical="center"/>
    </xf>
    <xf numFmtId="0" fontId="20" fillId="2" borderId="3" applyAlignment="1" pivotButton="0" quotePrefix="0" xfId="0">
      <alignment horizontal="center" vertical="center"/>
    </xf>
    <xf numFmtId="0" fontId="18" fillId="0" borderId="0" applyAlignment="1" pivotButton="0" quotePrefix="0" xfId="0">
      <alignment horizontal="left" vertical="center"/>
    </xf>
    <xf numFmtId="0" fontId="13" fillId="4" borderId="1" applyAlignment="1" pivotButton="0" quotePrefix="0" xfId="0">
      <alignment horizontal="left" vertical="center"/>
    </xf>
    <xf numFmtId="0" fontId="11" fillId="4" borderId="1" applyAlignment="1" pivotButton="0" quotePrefix="0" xfId="0">
      <alignment horizontal="center" vertical="center"/>
    </xf>
    <xf numFmtId="0" fontId="2" fillId="2" borderId="1" applyAlignment="1" pivotButton="0" quotePrefix="0" xfId="0">
      <alignment horizontal="left" vertical="center"/>
    </xf>
    <xf numFmtId="0" fontId="21" fillId="2" borderId="1" applyAlignment="1" pivotButton="0" quotePrefix="0" xfId="0">
      <alignment horizontal="center" vertical="center"/>
    </xf>
    <xf numFmtId="9" fontId="6" fillId="7" borderId="1" applyAlignment="1" pivotButton="0" quotePrefix="0" xfId="0">
      <alignment horizontal="center" vertical="center"/>
    </xf>
    <xf numFmtId="0" fontId="6" fillId="7" borderId="1" applyAlignment="1" pivotButton="0" quotePrefix="0" xfId="0">
      <alignment horizontal="center" vertical="center"/>
    </xf>
    <xf numFmtId="0" fontId="13" fillId="2" borderId="0" applyAlignment="1" pivotButton="0" quotePrefix="0" xfId="0">
      <alignment horizontal="left" vertical="center"/>
    </xf>
    <xf numFmtId="0" fontId="22" fillId="4" borderId="1" applyAlignment="1" pivotButton="0" quotePrefix="0" xfId="0">
      <alignment horizontal="left" vertical="center"/>
    </xf>
    <xf numFmtId="0" fontId="22" fillId="9" borderId="1" applyAlignment="1" pivotButton="0" quotePrefix="0" xfId="0">
      <alignment horizontal="left" vertical="center"/>
    </xf>
    <xf numFmtId="0" fontId="22" fillId="10" borderId="1" applyAlignment="1" pivotButton="0" quotePrefix="0" xfId="0">
      <alignment horizontal="left" vertical="center"/>
    </xf>
    <xf numFmtId="0" fontId="22" fillId="11" borderId="1" applyAlignment="1" pivotButton="0" quotePrefix="0" xfId="0">
      <alignment horizontal="left" vertical="center"/>
    </xf>
    <xf numFmtId="0" fontId="22" fillId="3" borderId="1" applyAlignment="1" pivotButton="0" quotePrefix="0" xfId="0">
      <alignment horizontal="left" vertical="center"/>
    </xf>
    <xf numFmtId="0" fontId="22" fillId="12" borderId="1" applyAlignment="1" pivotButton="0" quotePrefix="0" xfId="0">
      <alignment horizontal="left" vertical="center"/>
    </xf>
    <xf numFmtId="164" fontId="20" fillId="2" borderId="1" applyAlignment="1" pivotButton="0" quotePrefix="0" xfId="0">
      <alignment horizontal="center" vertical="center"/>
    </xf>
    <xf numFmtId="0" fontId="23" fillId="7" borderId="1" applyAlignment="1" pivotButton="0" quotePrefix="0" xfId="0">
      <alignment horizontal="left" vertical="top" wrapText="1"/>
    </xf>
    <xf numFmtId="0" fontId="23" fillId="0" borderId="0" applyAlignment="1" pivotButton="0" quotePrefix="0" xfId="0">
      <alignment horizontal="left" vertical="center"/>
    </xf>
    <xf numFmtId="0" fontId="24" fillId="5" borderId="1" applyAlignment="1" pivotButton="0" quotePrefix="0" xfId="0">
      <alignment horizontal="center" vertical="center"/>
    </xf>
    <xf numFmtId="0" fontId="6" fillId="5" borderId="1" applyAlignment="1" pivotButton="0" quotePrefix="0" xfId="0">
      <alignment horizontal="center" vertical="center"/>
    </xf>
    <xf numFmtId="0" fontId="2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3" customWidth="1" min="1" max="1"/>
    <col width="32" customWidth="1" min="2" max="2"/>
    <col width="18" customWidth="1" min="3" max="3"/>
    <col width="18" customWidth="1" min="4" max="4"/>
    <col width="3" customWidth="1" min="5" max="5"/>
  </cols>
  <sheetData>
    <row r="1">
      <c r="A1" s="1" t="n"/>
      <c r="B1" s="1" t="n"/>
      <c r="C1" s="1" t="n"/>
      <c r="D1" s="1" t="n"/>
      <c r="E1" s="1" t="n"/>
    </row>
    <row r="2" ht="48" customHeight="1">
      <c r="A2" s="1" t="n"/>
      <c r="B2" s="2" t="inlineStr">
        <is>
          <t>T&amp;E Vendor Evaluation Scorecard — Premium</t>
        </is>
      </c>
      <c r="E2" s="1" t="n"/>
    </row>
    <row r="3">
      <c r="A3" s="3" t="n"/>
      <c r="B3" s="3" t="n"/>
      <c r="C3" s="3" t="n"/>
      <c r="D3" s="3" t="n"/>
      <c r="E3" s="3" t="n"/>
    </row>
    <row r="4">
      <c r="A4" s="1" t="n"/>
      <c r="B4" s="1" t="n"/>
      <c r="C4" s="1" t="n"/>
      <c r="D4" s="1" t="n"/>
      <c r="E4" s="1" t="n"/>
    </row>
    <row r="5" ht="10" customHeight="1"/>
    <row r="6" ht="20" customHeight="1">
      <c r="B6" s="4" t="inlineStr">
        <is>
          <t>STEP 1 — ENTER VENDOR NAMES</t>
        </is>
      </c>
    </row>
    <row r="7" ht="22" customHeight="1">
      <c r="B7" s="5" t="inlineStr">
        <is>
          <t>Vendor 1</t>
        </is>
      </c>
      <c r="C7" s="6" t="inlineStr">
        <is>
          <t>Vendor 1</t>
        </is>
      </c>
    </row>
    <row r="8" ht="22" customHeight="1">
      <c r="B8" s="7" t="inlineStr">
        <is>
          <t>Vendor 2</t>
        </is>
      </c>
      <c r="C8" s="6" t="inlineStr">
        <is>
          <t>Vendor 2</t>
        </is>
      </c>
    </row>
    <row r="9" ht="22" customHeight="1">
      <c r="B9" s="5" t="inlineStr">
        <is>
          <t>Vendor 3</t>
        </is>
      </c>
      <c r="C9" s="6" t="inlineStr">
        <is>
          <t>Vendor 3</t>
        </is>
      </c>
    </row>
    <row r="10" ht="22" customHeight="1">
      <c r="B10" s="7" t="inlineStr">
        <is>
          <t>Vendor 4</t>
        </is>
      </c>
      <c r="C10" s="6" t="inlineStr">
        <is>
          <t>Vendor 4</t>
        </is>
      </c>
    </row>
    <row r="11" ht="22" customHeight="1">
      <c r="B11" s="5" t="inlineStr">
        <is>
          <t>Vendor 5</t>
        </is>
      </c>
      <c r="C11" s="6" t="inlineStr">
        <is>
          <t>Vendor 5</t>
        </is>
      </c>
    </row>
    <row r="12" ht="22" customHeight="1">
      <c r="B12" s="7" t="inlineStr">
        <is>
          <t>Vendor 6</t>
        </is>
      </c>
      <c r="C12" s="6" t="inlineStr">
        <is>
          <t>Vendor 6</t>
        </is>
      </c>
    </row>
    <row r="13" ht="22" customHeight="1">
      <c r="B13" s="5" t="inlineStr">
        <is>
          <t>Vendor 7</t>
        </is>
      </c>
      <c r="C13" s="6" t="inlineStr">
        <is>
          <t>Vendor 7</t>
        </is>
      </c>
    </row>
    <row r="14" ht="22" customHeight="1">
      <c r="B14" s="7" t="inlineStr">
        <is>
          <t>Vendor 8</t>
        </is>
      </c>
      <c r="C14" s="6" t="inlineStr">
        <is>
          <t>Vendor 8</t>
        </is>
      </c>
    </row>
    <row r="15" ht="10" customHeight="1"/>
    <row r="16" ht="20" customHeight="1">
      <c r="B16" s="4" t="inlineStr">
        <is>
          <t>STEP 2 — SET DIMENSION WEIGHTS  (must sum to 100%)</t>
        </is>
      </c>
    </row>
    <row r="17" ht="22" customHeight="1">
      <c r="B17" s="8" t="inlineStr">
        <is>
          <t>1. Functionality &amp; Features</t>
        </is>
      </c>
      <c r="C17" s="9" t="n">
        <v>0.2</v>
      </c>
    </row>
    <row r="18" ht="22" customHeight="1">
      <c r="B18" s="10" t="inlineStr">
        <is>
          <t>2. Integration &amp; Technical Architecture</t>
        </is>
      </c>
      <c r="C18" s="9" t="n">
        <v>0.15</v>
      </c>
    </row>
    <row r="19" ht="22" customHeight="1">
      <c r="B19" s="8" t="inlineStr">
        <is>
          <t>3. Implementation &amp; Support</t>
        </is>
      </c>
      <c r="C19" s="9" t="n">
        <v>0.2</v>
      </c>
    </row>
    <row r="20" ht="22" customHeight="1">
      <c r="B20" s="10" t="inlineStr">
        <is>
          <t>4. Commercial Terms</t>
        </is>
      </c>
      <c r="C20" s="9" t="n">
        <v>0.15</v>
      </c>
    </row>
    <row r="21" ht="22" customHeight="1">
      <c r="B21" s="8" t="inlineStr">
        <is>
          <t>5. European Compliance</t>
        </is>
      </c>
      <c r="C21" s="9" t="n">
        <v>0.2</v>
      </c>
    </row>
    <row r="22" ht="22" customHeight="1">
      <c r="B22" s="10" t="inlineStr">
        <is>
          <t>6. Vendor Viability &amp; Strategic Fit</t>
        </is>
      </c>
      <c r="C22" s="9" t="n">
        <v>0.1</v>
      </c>
    </row>
    <row r="23" ht="22" customHeight="1">
      <c r="B23" s="11" t="inlineStr">
        <is>
          <t>Total (must = 100%)</t>
        </is>
      </c>
      <c r="C23" s="12">
        <f>SUM(C17:C22)</f>
        <v/>
      </c>
    </row>
    <row r="25" ht="16" customHeight="1">
      <c r="B25" s="13" t="inlineStr">
        <is>
          <t>INSTRUCTIONS</t>
        </is>
      </c>
    </row>
    <row r="26" ht="8" customHeight="1">
      <c r="B26" s="14" t="inlineStr"/>
    </row>
    <row r="27" ht="16" customHeight="1">
      <c r="B27" s="15" t="inlineStr">
        <is>
          <t>1.  Enter vendor names in the yellow cells above (Step 1).</t>
        </is>
      </c>
    </row>
    <row r="28" ht="16" customHeight="1">
      <c r="B28" s="15" t="inlineStr">
        <is>
          <t>2.  Adjust dimension weights if needed — they must sum to 100% (Step 2).</t>
        </is>
      </c>
    </row>
    <row r="29" ht="16" customHeight="1">
      <c r="B29" s="15" t="inlineStr">
        <is>
          <t>3.  Go to the Scorecard sheet and score each vendor 0–5 for every criterion.</t>
        </is>
      </c>
    </row>
    <row r="30" ht="16" customHeight="1">
      <c r="B30" s="15" t="inlineStr">
        <is>
          <t>4.  Criteria marked ★ are weighted 2x within their dimension.</t>
        </is>
      </c>
    </row>
    <row r="31" ht="16" customHeight="1">
      <c r="B31" s="15" t="inlineStr">
        <is>
          <t>5.  The Summary sheet shows weighted scores, rankings, and a radar chart.</t>
        </is>
      </c>
    </row>
    <row r="32" ht="16" customHeight="1">
      <c r="B32" s="15" t="inlineStr">
        <is>
          <t>6.  The Gap Analysis sheet highlights where each vendor falls short.</t>
        </is>
      </c>
    </row>
    <row r="33" ht="8" customHeight="1">
      <c r="B33" s="14" t="inlineStr"/>
    </row>
    <row r="34" ht="16" customHeight="1">
      <c r="B34" s="16" t="inlineStr">
        <is>
          <t>Scoring guide:</t>
        </is>
      </c>
    </row>
    <row r="35" ht="16" customHeight="1">
      <c r="B35" s="15" t="inlineStr">
        <is>
          <t xml:space="preserve">  0  =  Not offered / fails requirement</t>
        </is>
      </c>
    </row>
    <row r="36" ht="16" customHeight="1">
      <c r="B36" s="15" t="inlineStr">
        <is>
          <t xml:space="preserve">  1  =  Poor — significant gaps</t>
        </is>
      </c>
    </row>
    <row r="37" ht="16" customHeight="1">
      <c r="B37" s="15" t="inlineStr">
        <is>
          <t xml:space="preserve">  2  =  Below average — notable gaps</t>
        </is>
      </c>
    </row>
    <row r="38" ht="16" customHeight="1">
      <c r="B38" s="15" t="inlineStr">
        <is>
          <t xml:space="preserve">  3  =  Acceptable — meets minimum requirements</t>
        </is>
      </c>
    </row>
    <row r="39" ht="16" customHeight="1">
      <c r="B39" s="15" t="inlineStr">
        <is>
          <t xml:space="preserve">  4  =  Good — meets with minor gaps</t>
        </is>
      </c>
    </row>
    <row r="40" ht="16" customHeight="1">
      <c r="B40" s="15" t="inlineStr">
        <is>
          <t xml:space="preserve">  5  =  Excellent — fully meets or exceeds</t>
        </is>
      </c>
    </row>
  </sheetData>
  <mergeCells count="19">
    <mergeCell ref="B29:D29"/>
    <mergeCell ref="B38:D38"/>
    <mergeCell ref="B34:D34"/>
    <mergeCell ref="B28:D28"/>
    <mergeCell ref="B37:D37"/>
    <mergeCell ref="B40:D40"/>
    <mergeCell ref="B30:D30"/>
    <mergeCell ref="B6:D6"/>
    <mergeCell ref="B33:D33"/>
    <mergeCell ref="B36:D36"/>
    <mergeCell ref="B32:D32"/>
    <mergeCell ref="B35:D35"/>
    <mergeCell ref="B26:D26"/>
    <mergeCell ref="B25:D25"/>
    <mergeCell ref="B16:D16"/>
    <mergeCell ref="B31:D31"/>
    <mergeCell ref="B27:D27"/>
    <mergeCell ref="B39:D39"/>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6"/>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36" customWidth="1" min="3" max="3"/>
    <col width="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36" customWidth="1" min="13" max="13"/>
    <col width="2" customWidth="1" min="14" max="14"/>
  </cols>
  <sheetData>
    <row r="1" ht="8" customHeight="1">
      <c r="A1" s="1" t="n"/>
      <c r="B1" s="1" t="n"/>
      <c r="C1" s="1" t="n"/>
      <c r="D1" s="1" t="n"/>
      <c r="E1" s="1" t="n"/>
      <c r="F1" s="1" t="n"/>
      <c r="G1" s="1" t="n"/>
      <c r="H1" s="1" t="n"/>
      <c r="I1" s="1" t="n"/>
      <c r="J1" s="1" t="n"/>
      <c r="K1" s="1" t="n"/>
      <c r="L1" s="1" t="n"/>
      <c r="M1" s="1" t="n"/>
      <c r="N1" s="1" t="n"/>
    </row>
    <row r="2" ht="44" customHeight="1">
      <c r="A2" s="1" t="n"/>
      <c r="B2" s="17" t="inlineStr">
        <is>
          <t>T&amp;E Vendor Evaluation Scorecard — Premium  (60 criteria · 6 dimensions · up to 8 vendors)</t>
        </is>
      </c>
      <c r="N2" s="1" t="n"/>
    </row>
    <row r="3" ht="4" customHeight="1">
      <c r="A3" s="3" t="n"/>
      <c r="B3" s="3" t="n"/>
      <c r="C3" s="3" t="n"/>
      <c r="D3" s="3" t="n"/>
      <c r="E3" s="3" t="n"/>
      <c r="F3" s="3" t="n"/>
      <c r="G3" s="3" t="n"/>
      <c r="H3" s="3" t="n"/>
      <c r="I3" s="3" t="n"/>
      <c r="J3" s="3" t="n"/>
      <c r="K3" s="3" t="n"/>
      <c r="L3" s="3" t="n"/>
      <c r="M3" s="3" t="n"/>
      <c r="N3" s="3" t="n"/>
    </row>
    <row r="4" ht="8" customHeight="1">
      <c r="A4" s="1" t="n"/>
      <c r="B4" s="1" t="n"/>
      <c r="C4" s="1" t="n"/>
      <c r="D4" s="1" t="n"/>
      <c r="E4" s="1" t="n"/>
      <c r="F4" s="1" t="n"/>
      <c r="G4" s="1" t="n"/>
      <c r="H4" s="1" t="n"/>
      <c r="I4" s="1" t="n"/>
      <c r="J4" s="1" t="n"/>
      <c r="K4" s="1" t="n"/>
      <c r="L4" s="1" t="n"/>
      <c r="M4" s="1" t="n"/>
      <c r="N4" s="1" t="n"/>
    </row>
    <row r="5" ht="26" customHeight="1">
      <c r="B5" s="18" t="n"/>
      <c r="C5" s="19" t="inlineStr">
        <is>
          <t>Criterion</t>
        </is>
      </c>
      <c r="D5" s="19" t="inlineStr">
        <is>
          <t>Wt</t>
        </is>
      </c>
      <c r="E5" s="20">
        <f>IF(Setup!C7="Vendor 1","Vendor 1",Setup!C7)</f>
        <v/>
      </c>
      <c r="F5" s="20">
        <f>IF(Setup!C8="Vendor 2","Vendor 2",Setup!C8)</f>
        <v/>
      </c>
      <c r="G5" s="20">
        <f>IF(Setup!C9="Vendor 3","Vendor 3",Setup!C9)</f>
        <v/>
      </c>
      <c r="H5" s="20">
        <f>IF(Setup!C10="Vendor 4","Vendor 4",Setup!C10)</f>
        <v/>
      </c>
      <c r="I5" s="20">
        <f>IF(Setup!C11="Vendor 5","Vendor 5",Setup!C11)</f>
        <v/>
      </c>
      <c r="J5" s="20">
        <f>IF(Setup!C12="Vendor 6","Vendor 6",Setup!C12)</f>
        <v/>
      </c>
      <c r="K5" s="20">
        <f>IF(Setup!C13="Vendor 7","Vendor 7",Setup!C13)</f>
        <v/>
      </c>
      <c r="L5" s="20">
        <f>IF(Setup!C14="Vendor 8","Vendor 8",Setup!C14)</f>
        <v/>
      </c>
      <c r="M5" s="19" t="inlineStr">
        <is>
          <t>Notes / Evidence</t>
        </is>
      </c>
    </row>
    <row r="6" ht="8" customHeight="1"/>
    <row r="7" ht="20" customHeight="1">
      <c r="B7" s="21" t="inlineStr">
        <is>
          <t>#</t>
        </is>
      </c>
      <c r="C7" s="21" t="inlineStr">
        <is>
          <t>CRITERION</t>
        </is>
      </c>
      <c r="D7" s="21" t="inlineStr">
        <is>
          <t>WT</t>
        </is>
      </c>
      <c r="E7" s="21" t="inlineStr">
        <is>
          <t>V1</t>
        </is>
      </c>
      <c r="F7" s="21" t="inlineStr">
        <is>
          <t>V2</t>
        </is>
      </c>
      <c r="G7" s="21" t="inlineStr">
        <is>
          <t>V3</t>
        </is>
      </c>
      <c r="H7" s="21" t="inlineStr">
        <is>
          <t>V4</t>
        </is>
      </c>
      <c r="I7" s="21" t="inlineStr">
        <is>
          <t>V5</t>
        </is>
      </c>
      <c r="J7" s="21" t="inlineStr">
        <is>
          <t>V6</t>
        </is>
      </c>
      <c r="K7" s="21" t="inlineStr">
        <is>
          <t>V7</t>
        </is>
      </c>
      <c r="L7" s="21" t="inlineStr">
        <is>
          <t>V8</t>
        </is>
      </c>
      <c r="M7" s="21" t="inlineStr">
        <is>
          <t>NOTES</t>
        </is>
      </c>
    </row>
    <row r="8" ht="20" customHeight="1">
      <c r="B8" s="22" t="inlineStr">
        <is>
          <t>1. FUNCTIONALITY &amp; FEATURES</t>
        </is>
      </c>
    </row>
    <row r="9" ht="20" customHeight="1">
      <c r="B9" s="23" t="inlineStr">
        <is>
          <t>1.01</t>
        </is>
      </c>
      <c r="C9" s="24" t="inlineStr">
        <is>
          <t>Expense submission via mobile app (iOS &amp; Android)  ★</t>
        </is>
      </c>
      <c r="D9" s="25" t="inlineStr">
        <is>
          <t>2x</t>
        </is>
      </c>
      <c r="E9" s="26" t="n"/>
      <c r="F9" s="26" t="n"/>
      <c r="G9" s="26" t="n"/>
      <c r="H9" s="26" t="n"/>
      <c r="I9" s="26" t="n"/>
      <c r="J9" s="26" t="n"/>
      <c r="K9" s="26" t="n"/>
      <c r="L9" s="26" t="n"/>
      <c r="M9" s="27" t="n"/>
    </row>
    <row r="10" ht="20" customHeight="1">
      <c r="B10" s="28" t="inlineStr">
        <is>
          <t>1.02</t>
        </is>
      </c>
      <c r="C10" s="29" t="inlineStr">
        <is>
          <t>Receipt capture via OCR / AI photo scan  ★</t>
        </is>
      </c>
      <c r="D10" s="30" t="inlineStr">
        <is>
          <t>2x</t>
        </is>
      </c>
      <c r="E10" s="31" t="n"/>
      <c r="F10" s="31" t="n"/>
      <c r="G10" s="31" t="n"/>
      <c r="H10" s="31" t="n"/>
      <c r="I10" s="31" t="n"/>
      <c r="J10" s="31" t="n"/>
      <c r="K10" s="31" t="n"/>
      <c r="L10" s="31" t="n"/>
      <c r="M10" s="32" t="n"/>
    </row>
    <row r="11" ht="20" customHeight="1">
      <c r="B11" s="23" t="inlineStr">
        <is>
          <t>1.03</t>
        </is>
      </c>
      <c r="C11" s="24" t="inlineStr">
        <is>
          <t>Multi-currency support and real-time exchange rate updates  ★</t>
        </is>
      </c>
      <c r="D11" s="25" t="inlineStr">
        <is>
          <t>2x</t>
        </is>
      </c>
      <c r="E11" s="26" t="n"/>
      <c r="F11" s="26" t="n"/>
      <c r="G11" s="26" t="n"/>
      <c r="H11" s="26" t="n"/>
      <c r="I11" s="26" t="n"/>
      <c r="J11" s="26" t="n"/>
      <c r="K11" s="26" t="n"/>
      <c r="L11" s="26" t="n"/>
      <c r="M11" s="27" t="n"/>
    </row>
    <row r="12" ht="20" customHeight="1">
      <c r="B12" s="28" t="inlineStr">
        <is>
          <t>1.04</t>
        </is>
      </c>
      <c r="C12" s="29" t="inlineStr">
        <is>
          <t>Automated policy checking and real-time flagging  ★</t>
        </is>
      </c>
      <c r="D12" s="30" t="inlineStr">
        <is>
          <t>2x</t>
        </is>
      </c>
      <c r="E12" s="31" t="n"/>
      <c r="F12" s="31" t="n"/>
      <c r="G12" s="31" t="n"/>
      <c r="H12" s="31" t="n"/>
      <c r="I12" s="31" t="n"/>
      <c r="J12" s="31" t="n"/>
      <c r="K12" s="31" t="n"/>
      <c r="L12" s="31" t="n"/>
      <c r="M12" s="32" t="n"/>
    </row>
    <row r="13" ht="20" customHeight="1">
      <c r="B13" s="23" t="inlineStr">
        <is>
          <t>1.05</t>
        </is>
      </c>
      <c r="C13" s="24" t="inlineStr">
        <is>
          <t>Configurable approval workflows (multi-level, threshold, entity)  ★</t>
        </is>
      </c>
      <c r="D13" s="25" t="inlineStr">
        <is>
          <t>2x</t>
        </is>
      </c>
      <c r="E13" s="26" t="n"/>
      <c r="F13" s="26" t="n"/>
      <c r="G13" s="26" t="n"/>
      <c r="H13" s="26" t="n"/>
      <c r="I13" s="26" t="n"/>
      <c r="J13" s="26" t="n"/>
      <c r="K13" s="26" t="n"/>
      <c r="L13" s="26" t="n"/>
      <c r="M13" s="27" t="n"/>
    </row>
    <row r="14" ht="20" customHeight="1">
      <c r="B14" s="28" t="inlineStr">
        <is>
          <t>1.06</t>
        </is>
      </c>
      <c r="C14" s="29" t="inlineStr">
        <is>
          <t>Corporate card integration and automatic transaction import  ★</t>
        </is>
      </c>
      <c r="D14" s="30" t="inlineStr">
        <is>
          <t>2x</t>
        </is>
      </c>
      <c r="E14" s="31" t="n"/>
      <c r="F14" s="31" t="n"/>
      <c r="G14" s="31" t="n"/>
      <c r="H14" s="31" t="n"/>
      <c r="I14" s="31" t="n"/>
      <c r="J14" s="31" t="n"/>
      <c r="K14" s="31" t="n"/>
      <c r="L14" s="31" t="n"/>
      <c r="M14" s="32" t="n"/>
    </row>
    <row r="15" ht="20" customHeight="1">
      <c r="B15" s="23" t="inlineStr">
        <is>
          <t>1.07</t>
        </is>
      </c>
      <c r="C15" s="33" t="inlineStr">
        <is>
          <t>Per diem and mileage calculation engine</t>
        </is>
      </c>
      <c r="D15" s="23" t="inlineStr">
        <is>
          <t>1x</t>
        </is>
      </c>
      <c r="E15" s="26" t="n"/>
      <c r="F15" s="26" t="n"/>
      <c r="G15" s="26" t="n"/>
      <c r="H15" s="26" t="n"/>
      <c r="I15" s="26" t="n"/>
      <c r="J15" s="26" t="n"/>
      <c r="K15" s="26" t="n"/>
      <c r="L15" s="26" t="n"/>
      <c r="M15" s="27" t="n"/>
    </row>
    <row r="16" ht="20" customHeight="1">
      <c r="B16" s="28" t="inlineStr">
        <is>
          <t>1.08</t>
        </is>
      </c>
      <c r="C16" s="34" t="inlineStr">
        <is>
          <t>Offline mode for expense submission without connectivity</t>
        </is>
      </c>
      <c r="D16" s="28" t="inlineStr">
        <is>
          <t>1x</t>
        </is>
      </c>
      <c r="E16" s="31" t="n"/>
      <c r="F16" s="31" t="n"/>
      <c r="G16" s="31" t="n"/>
      <c r="H16" s="31" t="n"/>
      <c r="I16" s="31" t="n"/>
      <c r="J16" s="31" t="n"/>
      <c r="K16" s="31" t="n"/>
      <c r="L16" s="31" t="n"/>
      <c r="M16" s="32" t="n"/>
    </row>
    <row r="17" ht="20" customHeight="1">
      <c r="B17" s="23" t="inlineStr">
        <is>
          <t>1.09</t>
        </is>
      </c>
      <c r="C17" s="33" t="inlineStr">
        <is>
          <t>Spend analytics and reporting dashboard</t>
        </is>
      </c>
      <c r="D17" s="23" t="inlineStr">
        <is>
          <t>1x</t>
        </is>
      </c>
      <c r="E17" s="26" t="n"/>
      <c r="F17" s="26" t="n"/>
      <c r="G17" s="26" t="n"/>
      <c r="H17" s="26" t="n"/>
      <c r="I17" s="26" t="n"/>
      <c r="J17" s="26" t="n"/>
      <c r="K17" s="26" t="n"/>
      <c r="L17" s="26" t="n"/>
      <c r="M17" s="27" t="n"/>
    </row>
    <row r="18" ht="20" customHeight="1">
      <c r="B18" s="28" t="inlineStr">
        <is>
          <t>1.10</t>
        </is>
      </c>
      <c r="C18" s="34" t="inlineStr">
        <is>
          <t>Bulk approval and finance review workflows</t>
        </is>
      </c>
      <c r="D18" s="28" t="inlineStr">
        <is>
          <t>1x</t>
        </is>
      </c>
      <c r="E18" s="31" t="n"/>
      <c r="F18" s="31" t="n"/>
      <c r="G18" s="31" t="n"/>
      <c r="H18" s="31" t="n"/>
      <c r="I18" s="31" t="n"/>
      <c r="J18" s="31" t="n"/>
      <c r="K18" s="31" t="n"/>
      <c r="L18" s="31" t="n"/>
      <c r="M18" s="32" t="n"/>
    </row>
    <row r="19" ht="20" customHeight="1">
      <c r="B19" s="23" t="inlineStr">
        <is>
          <t>1.11</t>
        </is>
      </c>
      <c r="C19" s="33" t="inlineStr">
        <is>
          <t>AI-powered duplicate expense detection</t>
        </is>
      </c>
      <c r="D19" s="23" t="inlineStr">
        <is>
          <t>1x</t>
        </is>
      </c>
      <c r="E19" s="26" t="n"/>
      <c r="F19" s="26" t="n"/>
      <c r="G19" s="26" t="n"/>
      <c r="H19" s="26" t="n"/>
      <c r="I19" s="26" t="n"/>
      <c r="J19" s="26" t="n"/>
      <c r="K19" s="26" t="n"/>
      <c r="L19" s="26" t="n"/>
      <c r="M19" s="27" t="n"/>
    </row>
    <row r="20" ht="20" customHeight="1">
      <c r="B20" s="28" t="inlineStr">
        <is>
          <t>1.12</t>
        </is>
      </c>
      <c r="C20" s="34" t="inlineStr">
        <is>
          <t>Vendor / merchant category code management</t>
        </is>
      </c>
      <c r="D20" s="28" t="inlineStr">
        <is>
          <t>1x</t>
        </is>
      </c>
      <c r="E20" s="31" t="n"/>
      <c r="F20" s="31" t="n"/>
      <c r="G20" s="31" t="n"/>
      <c r="H20" s="31" t="n"/>
      <c r="I20" s="31" t="n"/>
      <c r="J20" s="31" t="n"/>
      <c r="K20" s="31" t="n"/>
      <c r="L20" s="31" t="n"/>
      <c r="M20" s="32" t="n"/>
    </row>
    <row r="21" ht="20" customHeight="1">
      <c r="B21" s="23" t="inlineStr">
        <is>
          <t>1.13</t>
        </is>
      </c>
      <c r="C21" s="24" t="inlineStr">
        <is>
          <t>Multi-entity and multi-company support in single instance  ★</t>
        </is>
      </c>
      <c r="D21" s="25" t="inlineStr">
        <is>
          <t>2x</t>
        </is>
      </c>
      <c r="E21" s="26" t="n"/>
      <c r="F21" s="26" t="n"/>
      <c r="G21" s="26" t="n"/>
      <c r="H21" s="26" t="n"/>
      <c r="I21" s="26" t="n"/>
      <c r="J21" s="26" t="n"/>
      <c r="K21" s="26" t="n"/>
      <c r="L21" s="26" t="n"/>
      <c r="M21" s="27" t="n"/>
    </row>
    <row r="22" ht="20" customHeight="1">
      <c r="B22" s="28" t="inlineStr">
        <is>
          <t>1.14</t>
        </is>
      </c>
      <c r="C22" s="34" t="inlineStr">
        <is>
          <t>Budget vs actual integration and alerting</t>
        </is>
      </c>
      <c r="D22" s="28" t="inlineStr">
        <is>
          <t>1x</t>
        </is>
      </c>
      <c r="E22" s="31" t="n"/>
      <c r="F22" s="31" t="n"/>
      <c r="G22" s="31" t="n"/>
      <c r="H22" s="31" t="n"/>
      <c r="I22" s="31" t="n"/>
      <c r="J22" s="31" t="n"/>
      <c r="K22" s="31" t="n"/>
      <c r="L22" s="31" t="n"/>
      <c r="M22" s="32" t="n"/>
    </row>
    <row r="23" ht="20" customHeight="1">
      <c r="B23" s="23" t="inlineStr">
        <is>
          <t>1.15</t>
        </is>
      </c>
      <c r="C23" s="33" t="inlineStr">
        <is>
          <t>Delegation / out-of-office approval routing</t>
        </is>
      </c>
      <c r="D23" s="23" t="inlineStr">
        <is>
          <t>1x</t>
        </is>
      </c>
      <c r="E23" s="26" t="n"/>
      <c r="F23" s="26" t="n"/>
      <c r="G23" s="26" t="n"/>
      <c r="H23" s="26" t="n"/>
      <c r="I23" s="26" t="n"/>
      <c r="J23" s="26" t="n"/>
      <c r="K23" s="26" t="n"/>
      <c r="L23" s="26" t="n"/>
      <c r="M23" s="27" t="n"/>
    </row>
    <row r="24" ht="5" customHeight="1">
      <c r="B24" s="35" t="n"/>
      <c r="C24" s="35" t="n"/>
      <c r="D24" s="35" t="n"/>
      <c r="E24" s="35" t="n"/>
      <c r="F24" s="35" t="n"/>
      <c r="G24" s="35" t="n"/>
      <c r="H24" s="35" t="n"/>
      <c r="I24" s="35" t="n"/>
      <c r="J24" s="35" t="n"/>
      <c r="K24" s="35" t="n"/>
      <c r="L24" s="35" t="n"/>
      <c r="M24" s="35" t="n"/>
      <c r="N24" s="35" t="n"/>
    </row>
    <row r="25" ht="20" customHeight="1">
      <c r="B25" s="36" t="inlineStr">
        <is>
          <t>2. INTEGRATION &amp; TECHNICAL ARCHITECTURE</t>
        </is>
      </c>
    </row>
    <row r="26" ht="20" customHeight="1">
      <c r="B26" s="28" t="inlineStr">
        <is>
          <t>2.01</t>
        </is>
      </c>
      <c r="C26" s="29" t="inlineStr">
        <is>
          <t>Native ERP connector (SAP S/4HANA, Dynamics 365, NetSuite, Oracle)  ★</t>
        </is>
      </c>
      <c r="D26" s="30" t="inlineStr">
        <is>
          <t>2x</t>
        </is>
      </c>
      <c r="E26" s="31" t="n"/>
      <c r="F26" s="31" t="n"/>
      <c r="G26" s="31" t="n"/>
      <c r="H26" s="31" t="n"/>
      <c r="I26" s="31" t="n"/>
      <c r="J26" s="31" t="n"/>
      <c r="K26" s="31" t="n"/>
      <c r="L26" s="31" t="n"/>
      <c r="M26" s="32" t="n"/>
    </row>
    <row r="27" ht="20" customHeight="1">
      <c r="B27" s="23" t="inlineStr">
        <is>
          <t>2.02</t>
        </is>
      </c>
      <c r="C27" s="24" t="inlineStr">
        <is>
          <t>HRIS / payroll system integration (SAP HCM, Workday, BambooHR)  ★</t>
        </is>
      </c>
      <c r="D27" s="25" t="inlineStr">
        <is>
          <t>2x</t>
        </is>
      </c>
      <c r="E27" s="26" t="n"/>
      <c r="F27" s="26" t="n"/>
      <c r="G27" s="26" t="n"/>
      <c r="H27" s="26" t="n"/>
      <c r="I27" s="26" t="n"/>
      <c r="J27" s="26" t="n"/>
      <c r="K27" s="26" t="n"/>
      <c r="L27" s="26" t="n"/>
      <c r="M27" s="27" t="n"/>
    </row>
    <row r="28" ht="20" customHeight="1">
      <c r="B28" s="28" t="inlineStr">
        <is>
          <t>2.03</t>
        </is>
      </c>
      <c r="C28" s="29" t="inlineStr">
        <is>
          <t>Corporate card provider integration (Amex, Visa, Mastercard GMS)  ★</t>
        </is>
      </c>
      <c r="D28" s="30" t="inlineStr">
        <is>
          <t>2x</t>
        </is>
      </c>
      <c r="E28" s="31" t="n"/>
      <c r="F28" s="31" t="n"/>
      <c r="G28" s="31" t="n"/>
      <c r="H28" s="31" t="n"/>
      <c r="I28" s="31" t="n"/>
      <c r="J28" s="31" t="n"/>
      <c r="K28" s="31" t="n"/>
      <c r="L28" s="31" t="n"/>
      <c r="M28" s="32" t="n"/>
    </row>
    <row r="29" ht="20" customHeight="1">
      <c r="B29" s="23" t="inlineStr">
        <is>
          <t>2.04</t>
        </is>
      </c>
      <c r="C29" s="33" t="inlineStr">
        <is>
          <t>Travel booking tool integration (Concur Travel, Cytric, TravelPerk)</t>
        </is>
      </c>
      <c r="D29" s="23" t="inlineStr">
        <is>
          <t>1x</t>
        </is>
      </c>
      <c r="E29" s="26" t="n"/>
      <c r="F29" s="26" t="n"/>
      <c r="G29" s="26" t="n"/>
      <c r="H29" s="26" t="n"/>
      <c r="I29" s="26" t="n"/>
      <c r="J29" s="26" t="n"/>
      <c r="K29" s="26" t="n"/>
      <c r="L29" s="26" t="n"/>
      <c r="M29" s="27" t="n"/>
    </row>
    <row r="30" ht="20" customHeight="1">
      <c r="B30" s="28" t="inlineStr">
        <is>
          <t>2.05</t>
        </is>
      </c>
      <c r="C30" s="34" t="inlineStr">
        <is>
          <t>REST API availability for custom integrations</t>
        </is>
      </c>
      <c r="D30" s="28" t="inlineStr">
        <is>
          <t>1x</t>
        </is>
      </c>
      <c r="E30" s="31" t="n"/>
      <c r="F30" s="31" t="n"/>
      <c r="G30" s="31" t="n"/>
      <c r="H30" s="31" t="n"/>
      <c r="I30" s="31" t="n"/>
      <c r="J30" s="31" t="n"/>
      <c r="K30" s="31" t="n"/>
      <c r="L30" s="31" t="n"/>
      <c r="M30" s="32" t="n"/>
    </row>
    <row r="31" ht="20" customHeight="1">
      <c r="B31" s="23" t="inlineStr">
        <is>
          <t>2.06</t>
        </is>
      </c>
      <c r="C31" s="24" t="inlineStr">
        <is>
          <t>SSO / identity provider integration (Azure AD, Okta, Google)  ★</t>
        </is>
      </c>
      <c r="D31" s="25" t="inlineStr">
        <is>
          <t>2x</t>
        </is>
      </c>
      <c r="E31" s="26" t="n"/>
      <c r="F31" s="26" t="n"/>
      <c r="G31" s="26" t="n"/>
      <c r="H31" s="26" t="n"/>
      <c r="I31" s="26" t="n"/>
      <c r="J31" s="26" t="n"/>
      <c r="K31" s="26" t="n"/>
      <c r="L31" s="26" t="n"/>
      <c r="M31" s="27" t="n"/>
    </row>
    <row r="32" ht="20" customHeight="1">
      <c r="B32" s="28" t="inlineStr">
        <is>
          <t>2.07</t>
        </is>
      </c>
      <c r="C32" s="34" t="inlineStr">
        <is>
          <t>Webhook / event-driven integration for real-time data flows</t>
        </is>
      </c>
      <c r="D32" s="28" t="inlineStr">
        <is>
          <t>1x</t>
        </is>
      </c>
      <c r="E32" s="31" t="n"/>
      <c r="F32" s="31" t="n"/>
      <c r="G32" s="31" t="n"/>
      <c r="H32" s="31" t="n"/>
      <c r="I32" s="31" t="n"/>
      <c r="J32" s="31" t="n"/>
      <c r="K32" s="31" t="n"/>
      <c r="L32" s="31" t="n"/>
      <c r="M32" s="32" t="n"/>
    </row>
    <row r="33" ht="20" customHeight="1">
      <c r="B33" s="23" t="inlineStr">
        <is>
          <t>2.08</t>
        </is>
      </c>
      <c r="C33" s="33" t="inlineStr">
        <is>
          <t>Data export formats (CSV, XML, EDIFACT, custom flat file)</t>
        </is>
      </c>
      <c r="D33" s="23" t="inlineStr">
        <is>
          <t>1x</t>
        </is>
      </c>
      <c r="E33" s="26" t="n"/>
      <c r="F33" s="26" t="n"/>
      <c r="G33" s="26" t="n"/>
      <c r="H33" s="26" t="n"/>
      <c r="I33" s="26" t="n"/>
      <c r="J33" s="26" t="n"/>
      <c r="K33" s="26" t="n"/>
      <c r="L33" s="26" t="n"/>
      <c r="M33" s="27" t="n"/>
    </row>
    <row r="34" ht="20" customHeight="1">
      <c r="B34" s="28" t="inlineStr">
        <is>
          <t>2.09</t>
        </is>
      </c>
      <c r="C34" s="29" t="inlineStr">
        <is>
          <t>Integration failure alerting and automated retry logic  ★</t>
        </is>
      </c>
      <c r="D34" s="30" t="inlineStr">
        <is>
          <t>2x</t>
        </is>
      </c>
      <c r="E34" s="31" t="n"/>
      <c r="F34" s="31" t="n"/>
      <c r="G34" s="31" t="n"/>
      <c r="H34" s="31" t="n"/>
      <c r="I34" s="31" t="n"/>
      <c r="J34" s="31" t="n"/>
      <c r="K34" s="31" t="n"/>
      <c r="L34" s="31" t="n"/>
      <c r="M34" s="32" t="n"/>
    </row>
    <row r="35" ht="20" customHeight="1">
      <c r="B35" s="23" t="inlineStr">
        <is>
          <t>2.10</t>
        </is>
      </c>
      <c r="C35" s="33" t="inlineStr">
        <is>
          <t>Sandbox / non-production environment for testing integrations</t>
        </is>
      </c>
      <c r="D35" s="23" t="inlineStr">
        <is>
          <t>1x</t>
        </is>
      </c>
      <c r="E35" s="26" t="n"/>
      <c r="F35" s="26" t="n"/>
      <c r="G35" s="26" t="n"/>
      <c r="H35" s="26" t="n"/>
      <c r="I35" s="26" t="n"/>
      <c r="J35" s="26" t="n"/>
      <c r="K35" s="26" t="n"/>
      <c r="L35" s="26" t="n"/>
      <c r="M35" s="27" t="n"/>
    </row>
    <row r="36" ht="5" customHeight="1">
      <c r="B36" s="35" t="n"/>
      <c r="C36" s="35" t="n"/>
      <c r="D36" s="35" t="n"/>
      <c r="E36" s="35" t="n"/>
      <c r="F36" s="35" t="n"/>
      <c r="G36" s="35" t="n"/>
      <c r="H36" s="35" t="n"/>
      <c r="I36" s="35" t="n"/>
      <c r="J36" s="35" t="n"/>
      <c r="K36" s="35" t="n"/>
      <c r="L36" s="35" t="n"/>
      <c r="M36" s="35" t="n"/>
      <c r="N36" s="35" t="n"/>
    </row>
    <row r="37" ht="20" customHeight="1">
      <c r="B37" s="37" t="inlineStr">
        <is>
          <t>3. IMPLEMENTATION &amp; SUPPORT</t>
        </is>
      </c>
    </row>
    <row r="38" ht="20" customHeight="1">
      <c r="B38" s="28" t="inlineStr">
        <is>
          <t>3.01</t>
        </is>
      </c>
      <c r="C38" s="29" t="inlineStr">
        <is>
          <t>Dedicated implementation consultant assigned for programme duration  ★</t>
        </is>
      </c>
      <c r="D38" s="30" t="inlineStr">
        <is>
          <t>2x</t>
        </is>
      </c>
      <c r="E38" s="31" t="n"/>
      <c r="F38" s="31" t="n"/>
      <c r="G38" s="31" t="n"/>
      <c r="H38" s="31" t="n"/>
      <c r="I38" s="31" t="n"/>
      <c r="J38" s="31" t="n"/>
      <c r="K38" s="31" t="n"/>
      <c r="L38" s="31" t="n"/>
      <c r="M38" s="32" t="n"/>
    </row>
    <row r="39" ht="20" customHeight="1">
      <c r="B39" s="23" t="inlineStr">
        <is>
          <t>3.02</t>
        </is>
      </c>
      <c r="C39" s="24" t="inlineStr">
        <is>
          <t>Structured methodology with defined phases and deliverables  ★</t>
        </is>
      </c>
      <c r="D39" s="25" t="inlineStr">
        <is>
          <t>2x</t>
        </is>
      </c>
      <c r="E39" s="26" t="n"/>
      <c r="F39" s="26" t="n"/>
      <c r="G39" s="26" t="n"/>
      <c r="H39" s="26" t="n"/>
      <c r="I39" s="26" t="n"/>
      <c r="J39" s="26" t="n"/>
      <c r="K39" s="26" t="n"/>
      <c r="L39" s="26" t="n"/>
      <c r="M39" s="27" t="n"/>
    </row>
    <row r="40" ht="20" customHeight="1">
      <c r="B40" s="28" t="inlineStr">
        <is>
          <t>3.03</t>
        </is>
      </c>
      <c r="C40" s="29" t="inlineStr">
        <is>
          <t>Data migration support including historical data and mapping  ★</t>
        </is>
      </c>
      <c r="D40" s="30" t="inlineStr">
        <is>
          <t>2x</t>
        </is>
      </c>
      <c r="E40" s="31" t="n"/>
      <c r="F40" s="31" t="n"/>
      <c r="G40" s="31" t="n"/>
      <c r="H40" s="31" t="n"/>
      <c r="I40" s="31" t="n"/>
      <c r="J40" s="31" t="n"/>
      <c r="K40" s="31" t="n"/>
      <c r="L40" s="31" t="n"/>
      <c r="M40" s="32" t="n"/>
    </row>
    <row r="41" ht="20" customHeight="1">
      <c r="B41" s="23" t="inlineStr">
        <is>
          <t>3.04</t>
        </is>
      </c>
      <c r="C41" s="24" t="inlineStr">
        <is>
          <t>Training materials in all required languages  ★</t>
        </is>
      </c>
      <c r="D41" s="25" t="inlineStr">
        <is>
          <t>2x</t>
        </is>
      </c>
      <c r="E41" s="26" t="n"/>
      <c r="F41" s="26" t="n"/>
      <c r="G41" s="26" t="n"/>
      <c r="H41" s="26" t="n"/>
      <c r="I41" s="26" t="n"/>
      <c r="J41" s="26" t="n"/>
      <c r="K41" s="26" t="n"/>
      <c r="L41" s="26" t="n"/>
      <c r="M41" s="27" t="n"/>
    </row>
    <row r="42" ht="20" customHeight="1">
      <c r="B42" s="28" t="inlineStr">
        <is>
          <t>3.05</t>
        </is>
      </c>
      <c r="C42" s="34" t="inlineStr">
        <is>
          <t>Sandbox / UAT environment provided throughout implementation</t>
        </is>
      </c>
      <c r="D42" s="28" t="inlineStr">
        <is>
          <t>1x</t>
        </is>
      </c>
      <c r="E42" s="31" t="n"/>
      <c r="F42" s="31" t="n"/>
      <c r="G42" s="31" t="n"/>
      <c r="H42" s="31" t="n"/>
      <c r="I42" s="31" t="n"/>
      <c r="J42" s="31" t="n"/>
      <c r="K42" s="31" t="n"/>
      <c r="L42" s="31" t="n"/>
      <c r="M42" s="32" t="n"/>
    </row>
    <row r="43" ht="20" customHeight="1">
      <c r="B43" s="23" t="inlineStr">
        <is>
          <t>3.06</t>
        </is>
      </c>
      <c r="C43" s="24" t="inlineStr">
        <is>
          <t>Post-go-live hypercare period (minimum 4 weeks defined in contract)  ★</t>
        </is>
      </c>
      <c r="D43" s="25" t="inlineStr">
        <is>
          <t>2x</t>
        </is>
      </c>
      <c r="E43" s="26" t="n"/>
      <c r="F43" s="26" t="n"/>
      <c r="G43" s="26" t="n"/>
      <c r="H43" s="26" t="n"/>
      <c r="I43" s="26" t="n"/>
      <c r="J43" s="26" t="n"/>
      <c r="K43" s="26" t="n"/>
      <c r="L43" s="26" t="n"/>
      <c r="M43" s="27" t="n"/>
    </row>
    <row r="44" ht="20" customHeight="1">
      <c r="B44" s="28" t="inlineStr">
        <is>
          <t>3.07</t>
        </is>
      </c>
      <c r="C44" s="34" t="inlineStr">
        <is>
          <t>SLA for critical incident response — target &lt; 4 hours</t>
        </is>
      </c>
      <c r="D44" s="28" t="inlineStr">
        <is>
          <t>1x</t>
        </is>
      </c>
      <c r="E44" s="31" t="n"/>
      <c r="F44" s="31" t="n"/>
      <c r="G44" s="31" t="n"/>
      <c r="H44" s="31" t="n"/>
      <c r="I44" s="31" t="n"/>
      <c r="J44" s="31" t="n"/>
      <c r="K44" s="31" t="n"/>
      <c r="L44" s="31" t="n"/>
      <c r="M44" s="32" t="n"/>
    </row>
    <row r="45" ht="20" customHeight="1">
      <c r="B45" s="23" t="inlineStr">
        <is>
          <t>3.08</t>
        </is>
      </c>
      <c r="C45" s="33" t="inlineStr">
        <is>
          <t>Dedicated customer success manager post-go-live</t>
        </is>
      </c>
      <c r="D45" s="23" t="inlineStr">
        <is>
          <t>1x</t>
        </is>
      </c>
      <c r="E45" s="26" t="n"/>
      <c r="F45" s="26" t="n"/>
      <c r="G45" s="26" t="n"/>
      <c r="H45" s="26" t="n"/>
      <c r="I45" s="26" t="n"/>
      <c r="J45" s="26" t="n"/>
      <c r="K45" s="26" t="n"/>
      <c r="L45" s="26" t="n"/>
      <c r="M45" s="27" t="n"/>
    </row>
    <row r="46" ht="20" customHeight="1">
      <c r="B46" s="28" t="inlineStr">
        <is>
          <t>3.09</t>
        </is>
      </c>
      <c r="C46" s="34" t="inlineStr">
        <is>
          <t>Community / knowledge base for self-service support</t>
        </is>
      </c>
      <c r="D46" s="28" t="inlineStr">
        <is>
          <t>1x</t>
        </is>
      </c>
      <c r="E46" s="31" t="n"/>
      <c r="F46" s="31" t="n"/>
      <c r="G46" s="31" t="n"/>
      <c r="H46" s="31" t="n"/>
      <c r="I46" s="31" t="n"/>
      <c r="J46" s="31" t="n"/>
      <c r="K46" s="31" t="n"/>
      <c r="L46" s="31" t="n"/>
      <c r="M46" s="32" t="n"/>
    </row>
    <row r="47" ht="20" customHeight="1">
      <c r="B47" s="23" t="inlineStr">
        <is>
          <t>3.10</t>
        </is>
      </c>
      <c r="C47" s="24" t="inlineStr">
        <is>
          <t>References from comparable pan-European programmes  ★</t>
        </is>
      </c>
      <c r="D47" s="25" t="inlineStr">
        <is>
          <t>2x</t>
        </is>
      </c>
      <c r="E47" s="26" t="n"/>
      <c r="F47" s="26" t="n"/>
      <c r="G47" s="26" t="n"/>
      <c r="H47" s="26" t="n"/>
      <c r="I47" s="26" t="n"/>
      <c r="J47" s="26" t="n"/>
      <c r="K47" s="26" t="n"/>
      <c r="L47" s="26" t="n"/>
      <c r="M47" s="27" t="n"/>
    </row>
    <row r="48" ht="5" customHeight="1">
      <c r="B48" s="35" t="n"/>
      <c r="C48" s="35" t="n"/>
      <c r="D48" s="35" t="n"/>
      <c r="E48" s="35" t="n"/>
      <c r="F48" s="35" t="n"/>
      <c r="G48" s="35" t="n"/>
      <c r="H48" s="35" t="n"/>
      <c r="I48" s="35" t="n"/>
      <c r="J48" s="35" t="n"/>
      <c r="K48" s="35" t="n"/>
      <c r="L48" s="35" t="n"/>
      <c r="M48" s="35" t="n"/>
      <c r="N48" s="35" t="n"/>
    </row>
    <row r="49" ht="20" customHeight="1">
      <c r="B49" s="38" t="inlineStr">
        <is>
          <t>4. COMMERCIAL TERMS</t>
        </is>
      </c>
    </row>
    <row r="50" ht="20" customHeight="1">
      <c r="B50" s="28" t="inlineStr">
        <is>
          <t>4.01</t>
        </is>
      </c>
      <c r="C50" s="29" t="inlineStr">
        <is>
          <t>Per-user pricing model — transparent and predictable  ★</t>
        </is>
      </c>
      <c r="D50" s="30" t="inlineStr">
        <is>
          <t>2x</t>
        </is>
      </c>
      <c r="E50" s="31" t="n"/>
      <c r="F50" s="31" t="n"/>
      <c r="G50" s="31" t="n"/>
      <c r="H50" s="31" t="n"/>
      <c r="I50" s="31" t="n"/>
      <c r="J50" s="31" t="n"/>
      <c r="K50" s="31" t="n"/>
      <c r="L50" s="31" t="n"/>
      <c r="M50" s="32" t="n"/>
    </row>
    <row r="51" ht="20" customHeight="1">
      <c r="B51" s="23" t="inlineStr">
        <is>
          <t>4.02</t>
        </is>
      </c>
      <c r="C51" s="24" t="inlineStr">
        <is>
          <t>Contract allows entity / country additions without renegotiation  ★</t>
        </is>
      </c>
      <c r="D51" s="25" t="inlineStr">
        <is>
          <t>2x</t>
        </is>
      </c>
      <c r="E51" s="26" t="n"/>
      <c r="F51" s="26" t="n"/>
      <c r="G51" s="26" t="n"/>
      <c r="H51" s="26" t="n"/>
      <c r="I51" s="26" t="n"/>
      <c r="J51" s="26" t="n"/>
      <c r="K51" s="26" t="n"/>
      <c r="L51" s="26" t="n"/>
      <c r="M51" s="27" t="n"/>
    </row>
    <row r="52" ht="20" customHeight="1">
      <c r="B52" s="28" t="inlineStr">
        <is>
          <t>4.03</t>
        </is>
      </c>
      <c r="C52" s="29" t="inlineStr">
        <is>
          <t>Exit clause — data export and transition support included  ★</t>
        </is>
      </c>
      <c r="D52" s="30" t="inlineStr">
        <is>
          <t>2x</t>
        </is>
      </c>
      <c r="E52" s="31" t="n"/>
      <c r="F52" s="31" t="n"/>
      <c r="G52" s="31" t="n"/>
      <c r="H52" s="31" t="n"/>
      <c r="I52" s="31" t="n"/>
      <c r="J52" s="31" t="n"/>
      <c r="K52" s="31" t="n"/>
      <c r="L52" s="31" t="n"/>
      <c r="M52" s="32" t="n"/>
    </row>
    <row r="53" ht="20" customHeight="1">
      <c r="B53" s="23" t="inlineStr">
        <is>
          <t>4.04</t>
        </is>
      </c>
      <c r="C53" s="24" t="inlineStr">
        <is>
          <t>No hidden implementation or setup fees beyond quoted price  ★</t>
        </is>
      </c>
      <c r="D53" s="25" t="inlineStr">
        <is>
          <t>2x</t>
        </is>
      </c>
      <c r="E53" s="26" t="n"/>
      <c r="F53" s="26" t="n"/>
      <c r="G53" s="26" t="n"/>
      <c r="H53" s="26" t="n"/>
      <c r="I53" s="26" t="n"/>
      <c r="J53" s="26" t="n"/>
      <c r="K53" s="26" t="n"/>
      <c r="L53" s="26" t="n"/>
      <c r="M53" s="27" t="n"/>
    </row>
    <row r="54" ht="20" customHeight="1">
      <c r="B54" s="28" t="inlineStr">
        <is>
          <t>4.05</t>
        </is>
      </c>
      <c r="C54" s="34" t="inlineStr">
        <is>
          <t>Multi-year discount and pricing lock available</t>
        </is>
      </c>
      <c r="D54" s="28" t="inlineStr">
        <is>
          <t>1x</t>
        </is>
      </c>
      <c r="E54" s="31" t="n"/>
      <c r="F54" s="31" t="n"/>
      <c r="G54" s="31" t="n"/>
      <c r="H54" s="31" t="n"/>
      <c r="I54" s="31" t="n"/>
      <c r="J54" s="31" t="n"/>
      <c r="K54" s="31" t="n"/>
      <c r="L54" s="31" t="n"/>
      <c r="M54" s="32" t="n"/>
    </row>
    <row r="55" ht="20" customHeight="1">
      <c r="B55" s="23" t="inlineStr">
        <is>
          <t>4.06</t>
        </is>
      </c>
      <c r="C55" s="33" t="inlineStr">
        <is>
          <t>Vendor financial stability — established &gt; 5 years</t>
        </is>
      </c>
      <c r="D55" s="23" t="inlineStr">
        <is>
          <t>1x</t>
        </is>
      </c>
      <c r="E55" s="26" t="n"/>
      <c r="F55" s="26" t="n"/>
      <c r="G55" s="26" t="n"/>
      <c r="H55" s="26" t="n"/>
      <c r="I55" s="26" t="n"/>
      <c r="J55" s="26" t="n"/>
      <c r="K55" s="26" t="n"/>
      <c r="L55" s="26" t="n"/>
      <c r="M55" s="27" t="n"/>
    </row>
    <row r="56" ht="20" customHeight="1">
      <c r="B56" s="28" t="inlineStr">
        <is>
          <t>4.07</t>
        </is>
      </c>
      <c r="C56" s="34" t="inlineStr">
        <is>
          <t>Named account manager with defined response commitments</t>
        </is>
      </c>
      <c r="D56" s="28" t="inlineStr">
        <is>
          <t>1x</t>
        </is>
      </c>
      <c r="E56" s="31" t="n"/>
      <c r="F56" s="31" t="n"/>
      <c r="G56" s="31" t="n"/>
      <c r="H56" s="31" t="n"/>
      <c r="I56" s="31" t="n"/>
      <c r="J56" s="31" t="n"/>
      <c r="K56" s="31" t="n"/>
      <c r="L56" s="31" t="n"/>
      <c r="M56" s="32" t="n"/>
    </row>
    <row r="57" ht="20" customHeight="1">
      <c r="B57" s="23" t="inlineStr">
        <is>
          <t>4.08</t>
        </is>
      </c>
      <c r="C57" s="33" t="inlineStr">
        <is>
          <t>Pilot / proof-of-concept pricing available pre-contract</t>
        </is>
      </c>
      <c r="D57" s="23" t="inlineStr">
        <is>
          <t>1x</t>
        </is>
      </c>
      <c r="E57" s="26" t="n"/>
      <c r="F57" s="26" t="n"/>
      <c r="G57" s="26" t="n"/>
      <c r="H57" s="26" t="n"/>
      <c r="I57" s="26" t="n"/>
      <c r="J57" s="26" t="n"/>
      <c r="K57" s="26" t="n"/>
      <c r="L57" s="26" t="n"/>
      <c r="M57" s="27" t="n"/>
    </row>
    <row r="58" ht="20" customHeight="1">
      <c r="B58" s="28" t="inlineStr">
        <is>
          <t>4.09</t>
        </is>
      </c>
      <c r="C58" s="29" t="inlineStr">
        <is>
          <t>Penalty / SLA credit clause for go-live delay caused by vendor  ★</t>
        </is>
      </c>
      <c r="D58" s="30" t="inlineStr">
        <is>
          <t>2x</t>
        </is>
      </c>
      <c r="E58" s="31" t="n"/>
      <c r="F58" s="31" t="n"/>
      <c r="G58" s="31" t="n"/>
      <c r="H58" s="31" t="n"/>
      <c r="I58" s="31" t="n"/>
      <c r="J58" s="31" t="n"/>
      <c r="K58" s="31" t="n"/>
      <c r="L58" s="31" t="n"/>
      <c r="M58" s="32" t="n"/>
    </row>
    <row r="59" ht="20" customHeight="1">
      <c r="B59" s="23" t="inlineStr">
        <is>
          <t>4.10</t>
        </is>
      </c>
      <c r="C59" s="33" t="inlineStr">
        <is>
          <t>Audit rights — right to inspect data processing practices</t>
        </is>
      </c>
      <c r="D59" s="23" t="inlineStr">
        <is>
          <t>1x</t>
        </is>
      </c>
      <c r="E59" s="26" t="n"/>
      <c r="F59" s="26" t="n"/>
      <c r="G59" s="26" t="n"/>
      <c r="H59" s="26" t="n"/>
      <c r="I59" s="26" t="n"/>
      <c r="J59" s="26" t="n"/>
      <c r="K59" s="26" t="n"/>
      <c r="L59" s="26" t="n"/>
      <c r="M59" s="27" t="n"/>
    </row>
    <row r="60" ht="5" customHeight="1">
      <c r="B60" s="35" t="n"/>
      <c r="C60" s="35" t="n"/>
      <c r="D60" s="35" t="n"/>
      <c r="E60" s="35" t="n"/>
      <c r="F60" s="35" t="n"/>
      <c r="G60" s="35" t="n"/>
      <c r="H60" s="35" t="n"/>
      <c r="I60" s="35" t="n"/>
      <c r="J60" s="35" t="n"/>
      <c r="K60" s="35" t="n"/>
      <c r="L60" s="35" t="n"/>
      <c r="M60" s="35" t="n"/>
      <c r="N60" s="35" t="n"/>
    </row>
    <row r="61" ht="20" customHeight="1">
      <c r="B61" s="39" t="inlineStr">
        <is>
          <t>5. EUROPEAN COMPLIANCE</t>
        </is>
      </c>
    </row>
    <row r="62" ht="20" customHeight="1">
      <c r="B62" s="28" t="inlineStr">
        <is>
          <t>5.01</t>
        </is>
      </c>
      <c r="C62" s="29" t="inlineStr">
        <is>
          <t>GDPR compliance — data processed within EU / EEA by default  ★</t>
        </is>
      </c>
      <c r="D62" s="30" t="inlineStr">
        <is>
          <t>2x</t>
        </is>
      </c>
      <c r="E62" s="31" t="n"/>
      <c r="F62" s="31" t="n"/>
      <c r="G62" s="31" t="n"/>
      <c r="H62" s="31" t="n"/>
      <c r="I62" s="31" t="n"/>
      <c r="J62" s="31" t="n"/>
      <c r="K62" s="31" t="n"/>
      <c r="L62" s="31" t="n"/>
      <c r="M62" s="32" t="n"/>
    </row>
    <row r="63" ht="20" customHeight="1">
      <c r="B63" s="23" t="inlineStr">
        <is>
          <t>5.02</t>
        </is>
      </c>
      <c r="C63" s="24" t="inlineStr">
        <is>
          <t>German receipt requirements (GoBD — digital archiving standards)  ★</t>
        </is>
      </c>
      <c r="D63" s="25" t="inlineStr">
        <is>
          <t>2x</t>
        </is>
      </c>
      <c r="E63" s="26" t="n"/>
      <c r="F63" s="26" t="n"/>
      <c r="G63" s="26" t="n"/>
      <c r="H63" s="26" t="n"/>
      <c r="I63" s="26" t="n"/>
      <c r="J63" s="26" t="n"/>
      <c r="K63" s="26" t="n"/>
      <c r="L63" s="26" t="n"/>
      <c r="M63" s="27" t="n"/>
    </row>
    <row r="64" ht="20" customHeight="1">
      <c r="B64" s="28" t="inlineStr">
        <is>
          <t>5.03</t>
        </is>
      </c>
      <c r="C64" s="29" t="inlineStr">
        <is>
          <t>French per diem rules (URSSAF rates, domestic vs international)  ★</t>
        </is>
      </c>
      <c r="D64" s="30" t="inlineStr">
        <is>
          <t>2x</t>
        </is>
      </c>
      <c r="E64" s="31" t="n"/>
      <c r="F64" s="31" t="n"/>
      <c r="G64" s="31" t="n"/>
      <c r="H64" s="31" t="n"/>
      <c r="I64" s="31" t="n"/>
      <c r="J64" s="31" t="n"/>
      <c r="K64" s="31" t="n"/>
      <c r="L64" s="31" t="n"/>
      <c r="M64" s="32" t="n"/>
    </row>
    <row r="65" ht="20" customHeight="1">
      <c r="B65" s="23" t="inlineStr">
        <is>
          <t>5.04</t>
        </is>
      </c>
      <c r="C65" s="24" t="inlineStr">
        <is>
          <t>Spanish IVA / VAT classification and deductibility  ★</t>
        </is>
      </c>
      <c r="D65" s="25" t="inlineStr">
        <is>
          <t>2x</t>
        </is>
      </c>
      <c r="E65" s="26" t="n"/>
      <c r="F65" s="26" t="n"/>
      <c r="G65" s="26" t="n"/>
      <c r="H65" s="26" t="n"/>
      <c r="I65" s="26" t="n"/>
      <c r="J65" s="26" t="n"/>
      <c r="K65" s="26" t="n"/>
      <c r="L65" s="26" t="n"/>
      <c r="M65" s="27" t="n"/>
    </row>
    <row r="66" ht="20" customHeight="1">
      <c r="B66" s="28" t="inlineStr">
        <is>
          <t>5.05</t>
        </is>
      </c>
      <c r="C66" s="34" t="inlineStr">
        <is>
          <t>Dutch representation expense and 80% rule</t>
        </is>
      </c>
      <c r="D66" s="28" t="inlineStr">
        <is>
          <t>1x</t>
        </is>
      </c>
      <c r="E66" s="31" t="n"/>
      <c r="F66" s="31" t="n"/>
      <c r="G66" s="31" t="n"/>
      <c r="H66" s="31" t="n"/>
      <c r="I66" s="31" t="n"/>
      <c r="J66" s="31" t="n"/>
      <c r="K66" s="31" t="n"/>
      <c r="L66" s="31" t="n"/>
      <c r="M66" s="32" t="n"/>
    </row>
    <row r="67" ht="20" customHeight="1">
      <c r="B67" s="23" t="inlineStr">
        <is>
          <t>5.06</t>
        </is>
      </c>
      <c r="C67" s="33" t="inlineStr">
        <is>
          <t>Works council / CSE information requirement support (France)</t>
        </is>
      </c>
      <c r="D67" s="23" t="inlineStr">
        <is>
          <t>1x</t>
        </is>
      </c>
      <c r="E67" s="26" t="n"/>
      <c r="F67" s="26" t="n"/>
      <c r="G67" s="26" t="n"/>
      <c r="H67" s="26" t="n"/>
      <c r="I67" s="26" t="n"/>
      <c r="J67" s="26" t="n"/>
      <c r="K67" s="26" t="n"/>
      <c r="L67" s="26" t="n"/>
      <c r="M67" s="27" t="n"/>
    </row>
    <row r="68" ht="20" customHeight="1">
      <c r="B68" s="28" t="inlineStr">
        <is>
          <t>5.07</t>
        </is>
      </c>
      <c r="C68" s="29" t="inlineStr">
        <is>
          <t>Country-specific audit trail and archiving (10-year retention)  ★</t>
        </is>
      </c>
      <c r="D68" s="30" t="inlineStr">
        <is>
          <t>2x</t>
        </is>
      </c>
      <c r="E68" s="31" t="n"/>
      <c r="F68" s="31" t="n"/>
      <c r="G68" s="31" t="n"/>
      <c r="H68" s="31" t="n"/>
      <c r="I68" s="31" t="n"/>
      <c r="J68" s="31" t="n"/>
      <c r="K68" s="31" t="n"/>
      <c r="L68" s="31" t="n"/>
      <c r="M68" s="32" t="n"/>
    </row>
    <row r="69" ht="20" customHeight="1">
      <c r="B69" s="23" t="inlineStr">
        <is>
          <t>5.08</t>
        </is>
      </c>
      <c r="C69" s="33" t="inlineStr">
        <is>
          <t>EU VAT reclaim support for cross-border business travel</t>
        </is>
      </c>
      <c r="D69" s="23" t="inlineStr">
        <is>
          <t>1x</t>
        </is>
      </c>
      <c r="E69" s="26" t="n"/>
      <c r="F69" s="26" t="n"/>
      <c r="G69" s="26" t="n"/>
      <c r="H69" s="26" t="n"/>
      <c r="I69" s="26" t="n"/>
      <c r="J69" s="26" t="n"/>
      <c r="K69" s="26" t="n"/>
      <c r="L69" s="26" t="n"/>
      <c r="M69" s="27" t="n"/>
    </row>
    <row r="70" ht="20" customHeight="1">
      <c r="B70" s="28" t="inlineStr">
        <is>
          <t>5.09</t>
        </is>
      </c>
      <c r="C70" s="34" t="inlineStr">
        <is>
          <t>Italian SDI / e-invoicing compliance</t>
        </is>
      </c>
      <c r="D70" s="28" t="inlineStr">
        <is>
          <t>1x</t>
        </is>
      </c>
      <c r="E70" s="31" t="n"/>
      <c r="F70" s="31" t="n"/>
      <c r="G70" s="31" t="n"/>
      <c r="H70" s="31" t="n"/>
      <c r="I70" s="31" t="n"/>
      <c r="J70" s="31" t="n"/>
      <c r="K70" s="31" t="n"/>
      <c r="L70" s="31" t="n"/>
      <c r="M70" s="32" t="n"/>
    </row>
    <row r="71" ht="20" customHeight="1">
      <c r="B71" s="23" t="inlineStr">
        <is>
          <t>5.10</t>
        </is>
      </c>
      <c r="C71" s="33" t="inlineStr">
        <is>
          <t>Belgian and Scandinavian market localisation</t>
        </is>
      </c>
      <c r="D71" s="23" t="inlineStr">
        <is>
          <t>1x</t>
        </is>
      </c>
      <c r="E71" s="26" t="n"/>
      <c r="F71" s="26" t="n"/>
      <c r="G71" s="26" t="n"/>
      <c r="H71" s="26" t="n"/>
      <c r="I71" s="26" t="n"/>
      <c r="J71" s="26" t="n"/>
      <c r="K71" s="26" t="n"/>
      <c r="L71" s="26" t="n"/>
      <c r="M71" s="27" t="n"/>
    </row>
    <row r="72" ht="20" customHeight="1">
      <c r="B72" s="28" t="inlineStr">
        <is>
          <t>5.11</t>
        </is>
      </c>
      <c r="C72" s="29" t="inlineStr">
        <is>
          <t>Data residency options by country (for DE, FR data sovereignty)  ★</t>
        </is>
      </c>
      <c r="D72" s="30" t="inlineStr">
        <is>
          <t>2x</t>
        </is>
      </c>
      <c r="E72" s="31" t="n"/>
      <c r="F72" s="31" t="n"/>
      <c r="G72" s="31" t="n"/>
      <c r="H72" s="31" t="n"/>
      <c r="I72" s="31" t="n"/>
      <c r="J72" s="31" t="n"/>
      <c r="K72" s="31" t="n"/>
      <c r="L72" s="31" t="n"/>
      <c r="M72" s="32" t="n"/>
    </row>
    <row r="73" ht="20" customHeight="1">
      <c r="B73" s="23" t="inlineStr">
        <is>
          <t>5.12</t>
        </is>
      </c>
      <c r="C73" s="33" t="inlineStr">
        <is>
          <t>DPIA / data processing agreement standard terms available</t>
        </is>
      </c>
      <c r="D73" s="23" t="inlineStr">
        <is>
          <t>1x</t>
        </is>
      </c>
      <c r="E73" s="26" t="n"/>
      <c r="F73" s="26" t="n"/>
      <c r="G73" s="26" t="n"/>
      <c r="H73" s="26" t="n"/>
      <c r="I73" s="26" t="n"/>
      <c r="J73" s="26" t="n"/>
      <c r="K73" s="26" t="n"/>
      <c r="L73" s="26" t="n"/>
      <c r="M73" s="27" t="n"/>
    </row>
    <row r="74" ht="5" customHeight="1">
      <c r="B74" s="35" t="n"/>
      <c r="C74" s="35" t="n"/>
      <c r="D74" s="35" t="n"/>
      <c r="E74" s="35" t="n"/>
      <c r="F74" s="35" t="n"/>
      <c r="G74" s="35" t="n"/>
      <c r="H74" s="35" t="n"/>
      <c r="I74" s="35" t="n"/>
      <c r="J74" s="35" t="n"/>
      <c r="K74" s="35" t="n"/>
      <c r="L74" s="35" t="n"/>
      <c r="M74" s="35" t="n"/>
      <c r="N74" s="35" t="n"/>
    </row>
    <row r="75" ht="20" customHeight="1">
      <c r="B75" s="40" t="inlineStr">
        <is>
          <t>6. VENDOR VIABILITY &amp; STRATEGIC FIT</t>
        </is>
      </c>
    </row>
    <row r="76" ht="20" customHeight="1">
      <c r="B76" s="28" t="inlineStr">
        <is>
          <t>6.01</t>
        </is>
      </c>
      <c r="C76" s="29" t="inlineStr">
        <is>
          <t>Product roadmap aligns with your organisation's 3-year technology strategy  ★</t>
        </is>
      </c>
      <c r="D76" s="30" t="inlineStr">
        <is>
          <t>2x</t>
        </is>
      </c>
      <c r="E76" s="31" t="n"/>
      <c r="F76" s="31" t="n"/>
      <c r="G76" s="31" t="n"/>
      <c r="H76" s="31" t="n"/>
      <c r="I76" s="31" t="n"/>
      <c r="J76" s="31" t="n"/>
      <c r="K76" s="31" t="n"/>
      <c r="L76" s="31" t="n"/>
      <c r="M76" s="32" t="n"/>
    </row>
    <row r="77" ht="20" customHeight="1">
      <c r="B77" s="23" t="inlineStr">
        <is>
          <t>6.02</t>
        </is>
      </c>
      <c r="C77" s="24" t="inlineStr">
        <is>
          <t>Active investment in AI / automation features on the roadmap  ★</t>
        </is>
      </c>
      <c r="D77" s="25" t="inlineStr">
        <is>
          <t>2x</t>
        </is>
      </c>
      <c r="E77" s="26" t="n"/>
      <c r="F77" s="26" t="n"/>
      <c r="G77" s="26" t="n"/>
      <c r="H77" s="26" t="n"/>
      <c r="I77" s="26" t="n"/>
      <c r="J77" s="26" t="n"/>
      <c r="K77" s="26" t="n"/>
      <c r="L77" s="26" t="n"/>
      <c r="M77" s="27" t="n"/>
    </row>
    <row r="78" ht="20" customHeight="1">
      <c r="B78" s="28" t="inlineStr">
        <is>
          <t>6.03</t>
        </is>
      </c>
      <c r="C78" s="29" t="inlineStr">
        <is>
          <t>Market presence and customer base in your target European countries  ★</t>
        </is>
      </c>
      <c r="D78" s="30" t="inlineStr">
        <is>
          <t>2x</t>
        </is>
      </c>
      <c r="E78" s="31" t="n"/>
      <c r="F78" s="31" t="n"/>
      <c r="G78" s="31" t="n"/>
      <c r="H78" s="31" t="n"/>
      <c r="I78" s="31" t="n"/>
      <c r="J78" s="31" t="n"/>
      <c r="K78" s="31" t="n"/>
      <c r="L78" s="31" t="n"/>
      <c r="M78" s="32" t="n"/>
    </row>
    <row r="79" ht="20" customHeight="1">
      <c r="B79" s="23" t="inlineStr">
        <is>
          <t>6.04</t>
        </is>
      </c>
      <c r="C79" s="33" t="inlineStr">
        <is>
          <t>Analyst recognition (Gartner, Forrester, IDC coverage)</t>
        </is>
      </c>
      <c r="D79" s="23" t="inlineStr">
        <is>
          <t>1x</t>
        </is>
      </c>
      <c r="E79" s="26" t="n"/>
      <c r="F79" s="26" t="n"/>
      <c r="G79" s="26" t="n"/>
      <c r="H79" s="26" t="n"/>
      <c r="I79" s="26" t="n"/>
      <c r="J79" s="26" t="n"/>
      <c r="K79" s="26" t="n"/>
      <c r="L79" s="26" t="n"/>
      <c r="M79" s="27" t="n"/>
    </row>
    <row r="80" ht="20" customHeight="1">
      <c r="B80" s="28" t="inlineStr">
        <is>
          <t>6.05</t>
        </is>
      </c>
      <c r="C80" s="34" t="inlineStr">
        <is>
          <t>Customer satisfaction scores / NPS publicly available or referenceable</t>
        </is>
      </c>
      <c r="D80" s="28" t="inlineStr">
        <is>
          <t>1x</t>
        </is>
      </c>
      <c r="E80" s="31" t="n"/>
      <c r="F80" s="31" t="n"/>
      <c r="G80" s="31" t="n"/>
      <c r="H80" s="31" t="n"/>
      <c r="I80" s="31" t="n"/>
      <c r="J80" s="31" t="n"/>
      <c r="K80" s="31" t="n"/>
      <c r="L80" s="31" t="n"/>
      <c r="M80" s="32" t="n"/>
    </row>
    <row r="81" ht="20" customHeight="1">
      <c r="B81" s="23" t="inlineStr">
        <is>
          <t>6.06</t>
        </is>
      </c>
      <c r="C81" s="24" t="inlineStr">
        <is>
          <t>Acquisition / ownership stability — no pending M&amp;A risk  ★</t>
        </is>
      </c>
      <c r="D81" s="25" t="inlineStr">
        <is>
          <t>2x</t>
        </is>
      </c>
      <c r="E81" s="26" t="n"/>
      <c r="F81" s="26" t="n"/>
      <c r="G81" s="26" t="n"/>
      <c r="H81" s="26" t="n"/>
      <c r="I81" s="26" t="n"/>
      <c r="J81" s="26" t="n"/>
      <c r="K81" s="26" t="n"/>
      <c r="L81" s="26" t="n"/>
      <c r="M81" s="27" t="n"/>
    </row>
    <row r="82" ht="20" customHeight="1">
      <c r="B82" s="28" t="inlineStr">
        <is>
          <t>6.07</t>
        </is>
      </c>
      <c r="C82" s="34" t="inlineStr">
        <is>
          <t>Demonstrated experience in your industry vertical</t>
        </is>
      </c>
      <c r="D82" s="28" t="inlineStr">
        <is>
          <t>1x</t>
        </is>
      </c>
      <c r="E82" s="31" t="n"/>
      <c r="F82" s="31" t="n"/>
      <c r="G82" s="31" t="n"/>
      <c r="H82" s="31" t="n"/>
      <c r="I82" s="31" t="n"/>
      <c r="J82" s="31" t="n"/>
      <c r="K82" s="31" t="n"/>
      <c r="L82" s="31" t="n"/>
      <c r="M82" s="32" t="n"/>
    </row>
    <row r="83" ht="20" customHeight="1">
      <c r="B83" s="23" t="inlineStr">
        <is>
          <t>6.08</t>
        </is>
      </c>
      <c r="C83" s="33" t="inlineStr">
        <is>
          <t>Partnership ecosystem (GSI, regional SI partners in your markets)</t>
        </is>
      </c>
      <c r="D83" s="23" t="inlineStr">
        <is>
          <t>1x</t>
        </is>
      </c>
      <c r="E83" s="26" t="n"/>
      <c r="F83" s="26" t="n"/>
      <c r="G83" s="26" t="n"/>
      <c r="H83" s="26" t="n"/>
      <c r="I83" s="26" t="n"/>
      <c r="J83" s="26" t="n"/>
      <c r="K83" s="26" t="n"/>
      <c r="L83" s="26" t="n"/>
      <c r="M83" s="27" t="n"/>
    </row>
    <row r="84" ht="5" customHeight="1">
      <c r="B84" s="35" t="n"/>
      <c r="C84" s="35" t="n"/>
      <c r="D84" s="35" t="n"/>
      <c r="E84" s="35" t="n"/>
      <c r="F84" s="35" t="n"/>
      <c r="G84" s="35" t="n"/>
      <c r="H84" s="35" t="n"/>
      <c r="I84" s="35" t="n"/>
      <c r="J84" s="35" t="n"/>
      <c r="K84" s="35" t="n"/>
      <c r="L84" s="35" t="n"/>
      <c r="M84" s="35" t="n"/>
      <c r="N84" s="35" t="n"/>
    </row>
    <row r="85" ht="28" customHeight="1">
      <c r="B85" s="41" t="n"/>
      <c r="C85" s="42" t="inlineStr">
        <is>
          <t>TOTAL WEIGHTED SCORE</t>
        </is>
      </c>
      <c r="D85" s="41" t="n"/>
      <c r="E85" s="43">
        <f>IFERROR(SUMPRODUCT((D8:D83="2x")*ISNUMBER(E8:E83)*IF(ISNUMBER(E8:E83),E8:E83,0)*2)+SUMPRODUCT((D8:D83="1x")*ISNUMBER(E8:E83)*IF(ISNUMBER(E8:E83),E8:E83,0)),"")</f>
        <v/>
      </c>
      <c r="F85" s="43">
        <f>IFERROR(SUMPRODUCT((D8:D83="2x")*ISNUMBER(F8:F83)*IF(ISNUMBER(F8:F83),F8:F83,0)*2)+SUMPRODUCT((D8:D83="1x")*ISNUMBER(F8:F83)*IF(ISNUMBER(F8:F83),F8:F83,0)),"")</f>
        <v/>
      </c>
      <c r="G85" s="43">
        <f>IFERROR(SUMPRODUCT((D8:D83="2x")*ISNUMBER(G8:G83)*IF(ISNUMBER(G8:G83),G8:G83,0)*2)+SUMPRODUCT((D8:D83="1x")*ISNUMBER(G8:G83)*IF(ISNUMBER(G8:G83),G8:G83,0)),"")</f>
        <v/>
      </c>
      <c r="H85" s="43">
        <f>IFERROR(SUMPRODUCT((D8:D83="2x")*ISNUMBER(H8:H83)*IF(ISNUMBER(H8:H83),H8:H83,0)*2)+SUMPRODUCT((D8:D83="1x")*ISNUMBER(H8:H83)*IF(ISNUMBER(H8:H83),H8:H83,0)),"")</f>
        <v/>
      </c>
      <c r="I85" s="43">
        <f>IFERROR(SUMPRODUCT((D8:D83="2x")*ISNUMBER(I8:I83)*IF(ISNUMBER(I8:I83),I8:I83,0)*2)+SUMPRODUCT((D8:D83="1x")*ISNUMBER(I8:I83)*IF(ISNUMBER(I8:I83),I8:I83,0)),"")</f>
        <v/>
      </c>
      <c r="J85" s="43">
        <f>IFERROR(SUMPRODUCT((D8:D83="2x")*ISNUMBER(J8:J83)*IF(ISNUMBER(J8:J83),J8:J83,0)*2)+SUMPRODUCT((D8:D83="1x")*ISNUMBER(J8:J83)*IF(ISNUMBER(J8:J83),J8:J83,0)),"")</f>
        <v/>
      </c>
      <c r="K85" s="43">
        <f>IFERROR(SUMPRODUCT((D8:D83="2x")*ISNUMBER(K8:K83)*IF(ISNUMBER(K8:K83),K8:K83,0)*2)+SUMPRODUCT((D8:D83="1x")*ISNUMBER(K8:K83)*IF(ISNUMBER(K8:K83),K8:K83,0)),"")</f>
        <v/>
      </c>
      <c r="L85" s="43">
        <f>IFERROR(SUMPRODUCT((D8:D83="2x")*ISNUMBER(L8:L83)*IF(ISNUMBER(L8:L83),L8:L83,0)*2)+SUMPRODUCT((D8:D83="1x")*ISNUMBER(L8:L83)*IF(ISNUMBER(L8:L83),L8:L83,0)),"")</f>
        <v/>
      </c>
      <c r="M85" s="41" t="n"/>
    </row>
    <row r="86" ht="14" customHeight="1">
      <c r="C86" s="44" t="inlineStr">
        <is>
          <t>Maximum possible score: 490  (★ criteria count 2x)</t>
        </is>
      </c>
    </row>
  </sheetData>
  <mergeCells count="8">
    <mergeCell ref="B2:M2"/>
    <mergeCell ref="B25:M25"/>
    <mergeCell ref="C86:M86"/>
    <mergeCell ref="B37:M37"/>
    <mergeCell ref="B61:M61"/>
    <mergeCell ref="B8:M8"/>
    <mergeCell ref="B49:M49"/>
    <mergeCell ref="B75:M75"/>
  </mergeCells>
  <conditionalFormatting sqref="E8:L83">
    <cfRule type="colorScale" priority="1">
      <colorScale>
        <cfvo type="num" val="0"/>
        <cfvo type="num" val="3"/>
        <cfvo type="num" val="5"/>
        <color rgb="00FEE2E2"/>
        <color rgb="00FEF3C7"/>
        <color rgb="00D1FAE5"/>
      </colorScale>
    </cfRule>
  </conditionalFormatting>
  <dataValidations count="1">
    <dataValidation sqref="E9 E10 E11 E12 E13 E14 E15 E16 E17 E18 E19 E20 E21 E22 E23 E26 E27 E28 E29 E30 E31 E32 E33 E34 E35 E38 E39 E40 E41 E42 E43 E44 E45 E46 E47 E50 E51 E52 E53 E54 E55 E56 E57 E58 E59 E62 E63 E64 E65 E66 E67 E68 E69 E70 E71 E72 E73 E76 E77 E78 E79 E80 E81 E82 E83 F9 F10 F11 F12 F13 F14 F15 F16 F17 F18 F19 F20 F21 F22 F23 F26 F27 F28 F29 F30 F31 F32 F33 F34 F35 F38 F39 F40 F41 F42 F43 F44 F45 F46 F47 F50 F51 F52 F53 F54 F55 F56 F57 F58 F59 F62 F63 F64 F65 F66 F67 F68 F69 F70 F71 F72 F73 F76 F77 F78 F79 F80 F81 F82 F83 G9 G10 G11 G12 G13 G14 G15 G16 G17 G18 G19 G20 G21 G22 G23 G26 G27 G28 G29 G30 G31 G32 G33 G34 G35 G38 G39 G40 G41 G42 G43 G44 G45 G46 G47 G50 G51 G52 G53 G54 G55 G56 G57 G58 G59 G62 G63 G64 G65 G66 G67 G68 G69 G70 G71 G72 G73 G76 G77 G78 G79 G80 G81 G82 G83 H9 H10 H11 H12 H13 H14 H15 H16 H17 H18 H19 H20 H21 H22 H23 H26 H27 H28 H29 H30 H31 H32 H33 H34 H35 H38 H39 H40 H41 H42 H43 H44 H45 H46 H47 H50 H51 H52 H53 H54 H55 H56 H57 H58 H59 H62 H63 H64 H65 H66 H67 H68 H69 H70 H71 H72 H73 H76 H77 H78 H79 H80 H81 H82 H83 I9 I10 I11 I12 I13 I14 I15 I16 I17 I18 I19 I20 I21 I22 I23 I26 I27 I28 I29 I30 I31 I32 I33 I34 I35 I38 I39 I40 I41 I42 I43 I44 I45 I46 I47 I50 I51 I52 I53 I54 I55 I56 I57 I58 I59 I62 I63 I64 I65 I66 I67 I68 I69 I70 I71 I72 I73 I76 I77 I78 I79 I80 I81 I82 I83 J9 J10 J11 J12 J13 J14 J15 J16 J17 J18 J19 J20 J21 J22 J23 J26 J27 J28 J29 J30 J31 J32 J33 J34 J35 J38 J39 J40 J41 J42 J43 J44 J45 J46 J47 J50 J51 J52 J53 J54 J55 J56 J57 J58 J59 J62 J63 J64 J65 J66 J67 J68 J69 J70 J71 J72 J73 J76 J77 J78 J79 J80 J81 J82 J83 K9 K10 K11 K12 K13 K14 K15 K16 K17 K18 K19 K20 K21 K22 K23 K26 K27 K28 K29 K30 K31 K32 K33 K34 K35 K38 K39 K40 K41 K42 K43 K44 K45 K46 K47 K50 K51 K52 K53 K54 K55 K56 K57 K58 K59 K62 K63 K64 K65 K66 K67 K68 K69 K70 K71 K72 K73 K76 K77 K78 K79 K80 K81 K82 K83 L9 L10 L11 L12 L13 L14 L15 L16 L17 L18 L19 L20 L21 L22 L23 L26 L27 L28 L29 L30 L31 L32 L33 L34 L35 L38 L39 L40 L41 L42 L43 L44 L45 L46 L47 L50 L51 L52 L53 L54 L55 L56 L57 L58 L59 L62 L63 L64 L65 L66 L67 L68 L69 L70 L71 L72 L73 L76 L77 L78 L79 L80 L81 L82 L83" showDropDown="0" showInputMessage="0" showErrorMessage="0" allowBlank="1" type="list">
      <formula1>"0,1,2,3,4,5"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0" workbookViewId="0">
      <selection activeCell="A1" sqref="A1"/>
    </sheetView>
  </sheetViews>
  <sheetFormatPr baseColWidth="8" defaultRowHeight="15"/>
  <cols>
    <col width="3"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4" max="14"/>
  </cols>
  <sheetData>
    <row r="1" ht="8" customHeight="1">
      <c r="A1" s="1" t="n"/>
      <c r="B1" s="1" t="n"/>
      <c r="C1" s="1" t="n"/>
      <c r="D1" s="1" t="n"/>
      <c r="E1" s="1" t="n"/>
      <c r="F1" s="1" t="n"/>
      <c r="G1" s="1" t="n"/>
      <c r="H1" s="1" t="n"/>
      <c r="I1" s="1" t="n"/>
      <c r="J1" s="1" t="n"/>
      <c r="K1" s="1" t="n"/>
      <c r="L1" s="1" t="n"/>
    </row>
    <row r="2" ht="44" customHeight="1">
      <c r="A2" s="1" t="n"/>
      <c r="B2" s="2" t="inlineStr">
        <is>
          <t>Vendor Evaluation Summary — Premium</t>
        </is>
      </c>
      <c r="L2" s="1" t="n"/>
    </row>
    <row r="3" ht="4" customHeight="1">
      <c r="A3" s="3" t="n"/>
      <c r="B3" s="3" t="n"/>
      <c r="C3" s="3" t="n"/>
      <c r="D3" s="3" t="n"/>
      <c r="E3" s="3" t="n"/>
      <c r="F3" s="3" t="n"/>
      <c r="G3" s="3" t="n"/>
      <c r="H3" s="3" t="n"/>
      <c r="I3" s="3" t="n"/>
      <c r="J3" s="3" t="n"/>
      <c r="K3" s="3" t="n"/>
      <c r="L3" s="3" t="n"/>
    </row>
    <row r="4" ht="8" customHeight="1">
      <c r="A4" s="1" t="n"/>
      <c r="B4" s="1" t="n"/>
      <c r="C4" s="1" t="n"/>
      <c r="D4" s="1" t="n"/>
      <c r="E4" s="1" t="n"/>
      <c r="F4" s="1" t="n"/>
      <c r="G4" s="1" t="n"/>
      <c r="H4" s="1" t="n"/>
      <c r="I4" s="1" t="n"/>
      <c r="J4" s="1" t="n"/>
      <c r="K4" s="1" t="n"/>
      <c r="L4" s="1" t="n"/>
    </row>
    <row r="5" ht="26" customHeight="1">
      <c r="B5" s="45" t="inlineStr">
        <is>
          <t>METRIC</t>
        </is>
      </c>
      <c r="C5" s="46">
        <f>IF(Setup!C7="Vendor 1","Vendor 1",Setup!C7)</f>
        <v/>
      </c>
      <c r="D5" s="46">
        <f>IF(Setup!C8="Vendor 2","Vendor 2",Setup!C8)</f>
        <v/>
      </c>
      <c r="E5" s="46">
        <f>IF(Setup!C9="Vendor 3","Vendor 3",Setup!C9)</f>
        <v/>
      </c>
      <c r="F5" s="46">
        <f>IF(Setup!C10="Vendor 4","Vendor 4",Setup!C10)</f>
        <v/>
      </c>
      <c r="G5" s="46">
        <f>IF(Setup!C11="Vendor 5","Vendor 5",Setup!C11)</f>
        <v/>
      </c>
      <c r="H5" s="46">
        <f>IF(Setup!C12="Vendor 6","Vendor 6",Setup!C12)</f>
        <v/>
      </c>
      <c r="I5" s="46">
        <f>IF(Setup!C13="Vendor 7","Vendor 7",Setup!C13)</f>
        <v/>
      </c>
      <c r="J5" s="46">
        <f>IF(Setup!C14="Vendor 8","Vendor 8",Setup!C14)</f>
        <v/>
      </c>
    </row>
    <row r="6" ht="8" customHeight="1"/>
    <row r="7" ht="30" customHeight="1">
      <c r="B7" s="47" t="inlineStr">
        <is>
          <t>TOTAL WEIGHTED SCORE</t>
        </is>
      </c>
      <c r="C7" s="48">
        <f>Scorecard!E85</f>
        <v/>
      </c>
      <c r="D7" s="48">
        <f>Scorecard!F85</f>
        <v/>
      </c>
      <c r="E7" s="48">
        <f>Scorecard!G85</f>
        <v/>
      </c>
      <c r="F7" s="48">
        <f>Scorecard!H85</f>
        <v/>
      </c>
      <c r="G7" s="48">
        <f>Scorecard!I85</f>
        <v/>
      </c>
      <c r="H7" s="48">
        <f>Scorecard!J85</f>
        <v/>
      </c>
      <c r="I7" s="48">
        <f>Scorecard!K85</f>
        <v/>
      </c>
      <c r="J7" s="48">
        <f>Scorecard!L85</f>
        <v/>
      </c>
    </row>
    <row r="8" ht="22" customHeight="1">
      <c r="B8" s="11" t="inlineStr">
        <is>
          <t>Score as % of maximum</t>
        </is>
      </c>
      <c r="C8" s="49">
        <f>IFERROR(Scorecard!E85/490,"-")</f>
        <v/>
      </c>
      <c r="D8" s="49">
        <f>IFERROR(Scorecard!F85/490,"-")</f>
        <v/>
      </c>
      <c r="E8" s="49">
        <f>IFERROR(Scorecard!G85/490,"-")</f>
        <v/>
      </c>
      <c r="F8" s="49">
        <f>IFERROR(Scorecard!H85/490,"-")</f>
        <v/>
      </c>
      <c r="G8" s="49">
        <f>IFERROR(Scorecard!I85/490,"-")</f>
        <v/>
      </c>
      <c r="H8" s="49">
        <f>IFERROR(Scorecard!J85/490,"-")</f>
        <v/>
      </c>
      <c r="I8" s="49">
        <f>IFERROR(Scorecard!K85/490,"-")</f>
        <v/>
      </c>
      <c r="J8" s="49">
        <f>IFERROR(Scorecard!L85/490,"-")</f>
        <v/>
      </c>
    </row>
    <row r="9" ht="22" customHeight="1">
      <c r="B9" s="11" t="inlineStr">
        <is>
          <t>Rank (1 = highest)</t>
        </is>
      </c>
      <c r="C9" s="50">
        <f>IFERROR(RANK(Scorecard!E85,(Scorecard!E85,Scorecard!F85,Scorecard!G85,Scorecard!H85,Scorecard!I85,Scorecard!J85,Scorecard!K85,Scorecard!L85),0),"-")</f>
        <v/>
      </c>
      <c r="D9" s="50">
        <f>IFERROR(RANK(Scorecard!F85,(Scorecard!E85,Scorecard!F85,Scorecard!G85,Scorecard!H85,Scorecard!I85,Scorecard!J85,Scorecard!K85,Scorecard!L85),0),"-")</f>
        <v/>
      </c>
      <c r="E9" s="50">
        <f>IFERROR(RANK(Scorecard!G85,(Scorecard!E85,Scorecard!F85,Scorecard!G85,Scorecard!H85,Scorecard!I85,Scorecard!J85,Scorecard!K85,Scorecard!L85),0),"-")</f>
        <v/>
      </c>
      <c r="F9" s="50">
        <f>IFERROR(RANK(Scorecard!H85,(Scorecard!E85,Scorecard!F85,Scorecard!G85,Scorecard!H85,Scorecard!I85,Scorecard!J85,Scorecard!K85,Scorecard!L85),0),"-")</f>
        <v/>
      </c>
      <c r="G9" s="50">
        <f>IFERROR(RANK(Scorecard!I85,(Scorecard!E85,Scorecard!F85,Scorecard!G85,Scorecard!H85,Scorecard!I85,Scorecard!J85,Scorecard!K85,Scorecard!L85),0),"-")</f>
        <v/>
      </c>
      <c r="H9" s="50">
        <f>IFERROR(RANK(Scorecard!J85,(Scorecard!E85,Scorecard!F85,Scorecard!G85,Scorecard!H85,Scorecard!I85,Scorecard!J85,Scorecard!K85,Scorecard!L85),0),"-")</f>
        <v/>
      </c>
      <c r="I9" s="50">
        <f>IFERROR(RANK(Scorecard!K85,(Scorecard!E85,Scorecard!F85,Scorecard!G85,Scorecard!H85,Scorecard!I85,Scorecard!J85,Scorecard!K85,Scorecard!L85),0),"-")</f>
        <v/>
      </c>
      <c r="J9" s="50">
        <f>IFERROR(RANK(Scorecard!L85,(Scorecard!E85,Scorecard!F85,Scorecard!G85,Scorecard!H85,Scorecard!I85,Scorecard!J85,Scorecard!K85,Scorecard!L85),0),"-")</f>
        <v/>
      </c>
    </row>
    <row r="10" ht="10" customHeight="1"/>
    <row r="11" ht="20" customHeight="1">
      <c r="B11" s="51" t="inlineStr">
        <is>
          <t>SCORE BY DIMENSION</t>
        </is>
      </c>
    </row>
    <row r="12" ht="22" customHeight="1">
      <c r="B12" s="52" t="inlineStr">
        <is>
          <t>1. Functionality &amp; Features</t>
        </is>
      </c>
      <c r="C12" s="50">
        <f>IFERROR(SUMPRODUCT((Scorecard!D9:D23="2x")*ISNUMBER(Scorecard!E9:Scorecard!E23)*IF(ISNUMBER(Scorecard!E9:Scorecard!E23),Scorecard!E9:Scorecard!E23,0)*2)+SUMPRODUCT((Scorecard!D9:D23="1x")*ISNUMBER(Scorecard!E9:Scorecard!E23)*IF(ISNUMBER(Scorecard!E9:Scorecard!E23),Scorecard!E9:Scorecard!E23,0)),"-")</f>
        <v/>
      </c>
      <c r="D12" s="50">
        <f>IFERROR(SUMPRODUCT((Scorecard!D9:D23="2x")*ISNUMBER(Scorecard!F9:Scorecard!F23)*IF(ISNUMBER(Scorecard!F9:Scorecard!F23),Scorecard!F9:Scorecard!F23,0)*2)+SUMPRODUCT((Scorecard!D9:D23="1x")*ISNUMBER(Scorecard!F9:Scorecard!F23)*IF(ISNUMBER(Scorecard!F9:Scorecard!F23),Scorecard!F9:Scorecard!F23,0)),"-")</f>
        <v/>
      </c>
      <c r="E12" s="50">
        <f>IFERROR(SUMPRODUCT((Scorecard!D9:D23="2x")*ISNUMBER(Scorecard!G9:Scorecard!G23)*IF(ISNUMBER(Scorecard!G9:Scorecard!G23),Scorecard!G9:Scorecard!G23,0)*2)+SUMPRODUCT((Scorecard!D9:D23="1x")*ISNUMBER(Scorecard!G9:Scorecard!G23)*IF(ISNUMBER(Scorecard!G9:Scorecard!G23),Scorecard!G9:Scorecard!G23,0)),"-")</f>
        <v/>
      </c>
      <c r="F12" s="50">
        <f>IFERROR(SUMPRODUCT((Scorecard!D9:D23="2x")*ISNUMBER(Scorecard!H9:Scorecard!H23)*IF(ISNUMBER(Scorecard!H9:Scorecard!H23),Scorecard!H9:Scorecard!H23,0)*2)+SUMPRODUCT((Scorecard!D9:D23="1x")*ISNUMBER(Scorecard!H9:Scorecard!H23)*IF(ISNUMBER(Scorecard!H9:Scorecard!H23),Scorecard!H9:Scorecard!H23,0)),"-")</f>
        <v/>
      </c>
      <c r="G12" s="50">
        <f>IFERROR(SUMPRODUCT((Scorecard!D9:D23="2x")*ISNUMBER(Scorecard!I9:Scorecard!I23)*IF(ISNUMBER(Scorecard!I9:Scorecard!I23),Scorecard!I9:Scorecard!I23,0)*2)+SUMPRODUCT((Scorecard!D9:D23="1x")*ISNUMBER(Scorecard!I9:Scorecard!I23)*IF(ISNUMBER(Scorecard!I9:Scorecard!I23),Scorecard!I9:Scorecard!I23,0)),"-")</f>
        <v/>
      </c>
      <c r="H12" s="50">
        <f>IFERROR(SUMPRODUCT((Scorecard!D9:D23="2x")*ISNUMBER(Scorecard!J9:Scorecard!J23)*IF(ISNUMBER(Scorecard!J9:Scorecard!J23),Scorecard!J9:Scorecard!J23,0)*2)+SUMPRODUCT((Scorecard!D9:D23="1x")*ISNUMBER(Scorecard!J9:Scorecard!J23)*IF(ISNUMBER(Scorecard!J9:Scorecard!J23),Scorecard!J9:Scorecard!J23,0)),"-")</f>
        <v/>
      </c>
      <c r="I12" s="50">
        <f>IFERROR(SUMPRODUCT((Scorecard!D9:D23="2x")*ISNUMBER(Scorecard!K9:Scorecard!K23)*IF(ISNUMBER(Scorecard!K9:Scorecard!K23),Scorecard!K9:Scorecard!K23,0)*2)+SUMPRODUCT((Scorecard!D9:D23="1x")*ISNUMBER(Scorecard!K9:Scorecard!K23)*IF(ISNUMBER(Scorecard!K9:Scorecard!K23),Scorecard!K9:Scorecard!K23,0)),"-")</f>
        <v/>
      </c>
      <c r="J12" s="50">
        <f>IFERROR(SUMPRODUCT((Scorecard!D9:D23="2x")*ISNUMBER(Scorecard!L9:Scorecard!L23)*IF(ISNUMBER(Scorecard!L9:Scorecard!L23),Scorecard!L9:Scorecard!L23,0)*2)+SUMPRODUCT((Scorecard!D9:D23="1x")*ISNUMBER(Scorecard!L9:Scorecard!L23)*IF(ISNUMBER(Scorecard!L9:Scorecard!L23),Scorecard!L9:Scorecard!L23,0)),"-")</f>
        <v/>
      </c>
    </row>
    <row r="13" ht="22" customHeight="1">
      <c r="B13" s="53" t="inlineStr">
        <is>
          <t>2. Integration &amp; Technical Architecture</t>
        </is>
      </c>
      <c r="C13" s="50">
        <f>IFERROR(SUMPRODUCT((Scorecard!D26:D35="2x")*ISNUMBER(Scorecard!E26:Scorecard!E35)*IF(ISNUMBER(Scorecard!E26:Scorecard!E35),Scorecard!E26:Scorecard!E35,0)*2)+SUMPRODUCT((Scorecard!D26:D35="1x")*ISNUMBER(Scorecard!E26:Scorecard!E35)*IF(ISNUMBER(Scorecard!E26:Scorecard!E35),Scorecard!E26:Scorecard!E35,0)),"-")</f>
        <v/>
      </c>
      <c r="D13" s="50">
        <f>IFERROR(SUMPRODUCT((Scorecard!D26:D35="2x")*ISNUMBER(Scorecard!F26:Scorecard!F35)*IF(ISNUMBER(Scorecard!F26:Scorecard!F35),Scorecard!F26:Scorecard!F35,0)*2)+SUMPRODUCT((Scorecard!D26:D35="1x")*ISNUMBER(Scorecard!F26:Scorecard!F35)*IF(ISNUMBER(Scorecard!F26:Scorecard!F35),Scorecard!F26:Scorecard!F35,0)),"-")</f>
        <v/>
      </c>
      <c r="E13" s="50">
        <f>IFERROR(SUMPRODUCT((Scorecard!D26:D35="2x")*ISNUMBER(Scorecard!G26:Scorecard!G35)*IF(ISNUMBER(Scorecard!G26:Scorecard!G35),Scorecard!G26:Scorecard!G35,0)*2)+SUMPRODUCT((Scorecard!D26:D35="1x")*ISNUMBER(Scorecard!G26:Scorecard!G35)*IF(ISNUMBER(Scorecard!G26:Scorecard!G35),Scorecard!G26:Scorecard!G35,0)),"-")</f>
        <v/>
      </c>
      <c r="F13" s="50">
        <f>IFERROR(SUMPRODUCT((Scorecard!D26:D35="2x")*ISNUMBER(Scorecard!H26:Scorecard!H35)*IF(ISNUMBER(Scorecard!H26:Scorecard!H35),Scorecard!H26:Scorecard!H35,0)*2)+SUMPRODUCT((Scorecard!D26:D35="1x")*ISNUMBER(Scorecard!H26:Scorecard!H35)*IF(ISNUMBER(Scorecard!H26:Scorecard!H35),Scorecard!H26:Scorecard!H35,0)),"-")</f>
        <v/>
      </c>
      <c r="G13" s="50">
        <f>IFERROR(SUMPRODUCT((Scorecard!D26:D35="2x")*ISNUMBER(Scorecard!I26:Scorecard!I35)*IF(ISNUMBER(Scorecard!I26:Scorecard!I35),Scorecard!I26:Scorecard!I35,0)*2)+SUMPRODUCT((Scorecard!D26:D35="1x")*ISNUMBER(Scorecard!I26:Scorecard!I35)*IF(ISNUMBER(Scorecard!I26:Scorecard!I35),Scorecard!I26:Scorecard!I35,0)),"-")</f>
        <v/>
      </c>
      <c r="H13" s="50">
        <f>IFERROR(SUMPRODUCT((Scorecard!D26:D35="2x")*ISNUMBER(Scorecard!J26:Scorecard!J35)*IF(ISNUMBER(Scorecard!J26:Scorecard!J35),Scorecard!J26:Scorecard!J35,0)*2)+SUMPRODUCT((Scorecard!D26:D35="1x")*ISNUMBER(Scorecard!J26:Scorecard!J35)*IF(ISNUMBER(Scorecard!J26:Scorecard!J35),Scorecard!J26:Scorecard!J35,0)),"-")</f>
        <v/>
      </c>
      <c r="I13" s="50">
        <f>IFERROR(SUMPRODUCT((Scorecard!D26:D35="2x")*ISNUMBER(Scorecard!K26:Scorecard!K35)*IF(ISNUMBER(Scorecard!K26:Scorecard!K35),Scorecard!K26:Scorecard!K35,0)*2)+SUMPRODUCT((Scorecard!D26:D35="1x")*ISNUMBER(Scorecard!K26:Scorecard!K35)*IF(ISNUMBER(Scorecard!K26:Scorecard!K35),Scorecard!K26:Scorecard!K35,0)),"-")</f>
        <v/>
      </c>
      <c r="J13" s="50">
        <f>IFERROR(SUMPRODUCT((Scorecard!D26:D35="2x")*ISNUMBER(Scorecard!L26:Scorecard!L35)*IF(ISNUMBER(Scorecard!L26:Scorecard!L35),Scorecard!L26:Scorecard!L35,0)*2)+SUMPRODUCT((Scorecard!D26:D35="1x")*ISNUMBER(Scorecard!L26:Scorecard!L35)*IF(ISNUMBER(Scorecard!L26:Scorecard!L35),Scorecard!L26:Scorecard!L35,0)),"-")</f>
        <v/>
      </c>
    </row>
    <row r="14" ht="22" customHeight="1">
      <c r="B14" s="54" t="inlineStr">
        <is>
          <t>3. Implementation &amp; Support</t>
        </is>
      </c>
      <c r="C14" s="50">
        <f>IFERROR(SUMPRODUCT((Scorecard!D38:D47="2x")*ISNUMBER(Scorecard!E38:Scorecard!E47)*IF(ISNUMBER(Scorecard!E38:Scorecard!E47),Scorecard!E38:Scorecard!E47,0)*2)+SUMPRODUCT((Scorecard!D38:D47="1x")*ISNUMBER(Scorecard!E38:Scorecard!E47)*IF(ISNUMBER(Scorecard!E38:Scorecard!E47),Scorecard!E38:Scorecard!E47,0)),"-")</f>
        <v/>
      </c>
      <c r="D14" s="50">
        <f>IFERROR(SUMPRODUCT((Scorecard!D38:D47="2x")*ISNUMBER(Scorecard!F38:Scorecard!F47)*IF(ISNUMBER(Scorecard!F38:Scorecard!F47),Scorecard!F38:Scorecard!F47,0)*2)+SUMPRODUCT((Scorecard!D38:D47="1x")*ISNUMBER(Scorecard!F38:Scorecard!F47)*IF(ISNUMBER(Scorecard!F38:Scorecard!F47),Scorecard!F38:Scorecard!F47,0)),"-")</f>
        <v/>
      </c>
      <c r="E14" s="50">
        <f>IFERROR(SUMPRODUCT((Scorecard!D38:D47="2x")*ISNUMBER(Scorecard!G38:Scorecard!G47)*IF(ISNUMBER(Scorecard!G38:Scorecard!G47),Scorecard!G38:Scorecard!G47,0)*2)+SUMPRODUCT((Scorecard!D38:D47="1x")*ISNUMBER(Scorecard!G38:Scorecard!G47)*IF(ISNUMBER(Scorecard!G38:Scorecard!G47),Scorecard!G38:Scorecard!G47,0)),"-")</f>
        <v/>
      </c>
      <c r="F14" s="50">
        <f>IFERROR(SUMPRODUCT((Scorecard!D38:D47="2x")*ISNUMBER(Scorecard!H38:Scorecard!H47)*IF(ISNUMBER(Scorecard!H38:Scorecard!H47),Scorecard!H38:Scorecard!H47,0)*2)+SUMPRODUCT((Scorecard!D38:D47="1x")*ISNUMBER(Scorecard!H38:Scorecard!H47)*IF(ISNUMBER(Scorecard!H38:Scorecard!H47),Scorecard!H38:Scorecard!H47,0)),"-")</f>
        <v/>
      </c>
      <c r="G14" s="50">
        <f>IFERROR(SUMPRODUCT((Scorecard!D38:D47="2x")*ISNUMBER(Scorecard!I38:Scorecard!I47)*IF(ISNUMBER(Scorecard!I38:Scorecard!I47),Scorecard!I38:Scorecard!I47,0)*2)+SUMPRODUCT((Scorecard!D38:D47="1x")*ISNUMBER(Scorecard!I38:Scorecard!I47)*IF(ISNUMBER(Scorecard!I38:Scorecard!I47),Scorecard!I38:Scorecard!I47,0)),"-")</f>
        <v/>
      </c>
      <c r="H14" s="50">
        <f>IFERROR(SUMPRODUCT((Scorecard!D38:D47="2x")*ISNUMBER(Scorecard!J38:Scorecard!J47)*IF(ISNUMBER(Scorecard!J38:Scorecard!J47),Scorecard!J38:Scorecard!J47,0)*2)+SUMPRODUCT((Scorecard!D38:D47="1x")*ISNUMBER(Scorecard!J38:Scorecard!J47)*IF(ISNUMBER(Scorecard!J38:Scorecard!J47),Scorecard!J38:Scorecard!J47,0)),"-")</f>
        <v/>
      </c>
      <c r="I14" s="50">
        <f>IFERROR(SUMPRODUCT((Scorecard!D38:D47="2x")*ISNUMBER(Scorecard!K38:Scorecard!K47)*IF(ISNUMBER(Scorecard!K38:Scorecard!K47),Scorecard!K38:Scorecard!K47,0)*2)+SUMPRODUCT((Scorecard!D38:D47="1x")*ISNUMBER(Scorecard!K38:Scorecard!K47)*IF(ISNUMBER(Scorecard!K38:Scorecard!K47),Scorecard!K38:Scorecard!K47,0)),"-")</f>
        <v/>
      </c>
      <c r="J14" s="50">
        <f>IFERROR(SUMPRODUCT((Scorecard!D38:D47="2x")*ISNUMBER(Scorecard!L38:Scorecard!L47)*IF(ISNUMBER(Scorecard!L38:Scorecard!L47),Scorecard!L38:Scorecard!L47,0)*2)+SUMPRODUCT((Scorecard!D38:D47="1x")*ISNUMBER(Scorecard!L38:Scorecard!L47)*IF(ISNUMBER(Scorecard!L38:Scorecard!L47),Scorecard!L38:Scorecard!L47,0)),"-")</f>
        <v/>
      </c>
    </row>
    <row r="15" ht="22" customHeight="1">
      <c r="B15" s="55" t="inlineStr">
        <is>
          <t>4. Commercial Terms</t>
        </is>
      </c>
      <c r="C15" s="50">
        <f>IFERROR(SUMPRODUCT((Scorecard!D50:D59="2x")*ISNUMBER(Scorecard!E50:Scorecard!E59)*IF(ISNUMBER(Scorecard!E50:Scorecard!E59),Scorecard!E50:Scorecard!E59,0)*2)+SUMPRODUCT((Scorecard!D50:D59="1x")*ISNUMBER(Scorecard!E50:Scorecard!E59)*IF(ISNUMBER(Scorecard!E50:Scorecard!E59),Scorecard!E50:Scorecard!E59,0)),"-")</f>
        <v/>
      </c>
      <c r="D15" s="50">
        <f>IFERROR(SUMPRODUCT((Scorecard!D50:D59="2x")*ISNUMBER(Scorecard!F50:Scorecard!F59)*IF(ISNUMBER(Scorecard!F50:Scorecard!F59),Scorecard!F50:Scorecard!F59,0)*2)+SUMPRODUCT((Scorecard!D50:D59="1x")*ISNUMBER(Scorecard!F50:Scorecard!F59)*IF(ISNUMBER(Scorecard!F50:Scorecard!F59),Scorecard!F50:Scorecard!F59,0)),"-")</f>
        <v/>
      </c>
      <c r="E15" s="50">
        <f>IFERROR(SUMPRODUCT((Scorecard!D50:D59="2x")*ISNUMBER(Scorecard!G50:Scorecard!G59)*IF(ISNUMBER(Scorecard!G50:Scorecard!G59),Scorecard!G50:Scorecard!G59,0)*2)+SUMPRODUCT((Scorecard!D50:D59="1x")*ISNUMBER(Scorecard!G50:Scorecard!G59)*IF(ISNUMBER(Scorecard!G50:Scorecard!G59),Scorecard!G50:Scorecard!G59,0)),"-")</f>
        <v/>
      </c>
      <c r="F15" s="50">
        <f>IFERROR(SUMPRODUCT((Scorecard!D50:D59="2x")*ISNUMBER(Scorecard!H50:Scorecard!H59)*IF(ISNUMBER(Scorecard!H50:Scorecard!H59),Scorecard!H50:Scorecard!H59,0)*2)+SUMPRODUCT((Scorecard!D50:D59="1x")*ISNUMBER(Scorecard!H50:Scorecard!H59)*IF(ISNUMBER(Scorecard!H50:Scorecard!H59),Scorecard!H50:Scorecard!H59,0)),"-")</f>
        <v/>
      </c>
      <c r="G15" s="50">
        <f>IFERROR(SUMPRODUCT((Scorecard!D50:D59="2x")*ISNUMBER(Scorecard!I50:Scorecard!I59)*IF(ISNUMBER(Scorecard!I50:Scorecard!I59),Scorecard!I50:Scorecard!I59,0)*2)+SUMPRODUCT((Scorecard!D50:D59="1x")*ISNUMBER(Scorecard!I50:Scorecard!I59)*IF(ISNUMBER(Scorecard!I50:Scorecard!I59),Scorecard!I50:Scorecard!I59,0)),"-")</f>
        <v/>
      </c>
      <c r="H15" s="50">
        <f>IFERROR(SUMPRODUCT((Scorecard!D50:D59="2x")*ISNUMBER(Scorecard!J50:Scorecard!J59)*IF(ISNUMBER(Scorecard!J50:Scorecard!J59),Scorecard!J50:Scorecard!J59,0)*2)+SUMPRODUCT((Scorecard!D50:D59="1x")*ISNUMBER(Scorecard!J50:Scorecard!J59)*IF(ISNUMBER(Scorecard!J50:Scorecard!J59),Scorecard!J50:Scorecard!J59,0)),"-")</f>
        <v/>
      </c>
      <c r="I15" s="50">
        <f>IFERROR(SUMPRODUCT((Scorecard!D50:D59="2x")*ISNUMBER(Scorecard!K50:Scorecard!K59)*IF(ISNUMBER(Scorecard!K50:Scorecard!K59),Scorecard!K50:Scorecard!K59,0)*2)+SUMPRODUCT((Scorecard!D50:D59="1x")*ISNUMBER(Scorecard!K50:Scorecard!K59)*IF(ISNUMBER(Scorecard!K50:Scorecard!K59),Scorecard!K50:Scorecard!K59,0)),"-")</f>
        <v/>
      </c>
      <c r="J15" s="50">
        <f>IFERROR(SUMPRODUCT((Scorecard!D50:D59="2x")*ISNUMBER(Scorecard!L50:Scorecard!L59)*IF(ISNUMBER(Scorecard!L50:Scorecard!L59),Scorecard!L50:Scorecard!L59,0)*2)+SUMPRODUCT((Scorecard!D50:D59="1x")*ISNUMBER(Scorecard!L50:Scorecard!L59)*IF(ISNUMBER(Scorecard!L50:Scorecard!L59),Scorecard!L50:Scorecard!L59,0)),"-")</f>
        <v/>
      </c>
    </row>
    <row r="16" ht="22" customHeight="1">
      <c r="B16" s="56" t="inlineStr">
        <is>
          <t>5. European Compliance</t>
        </is>
      </c>
      <c r="C16" s="50">
        <f>IFERROR(SUMPRODUCT((Scorecard!D62:D73="2x")*ISNUMBER(Scorecard!E62:Scorecard!E73)*IF(ISNUMBER(Scorecard!E62:Scorecard!E73),Scorecard!E62:Scorecard!E73,0)*2)+SUMPRODUCT((Scorecard!D62:D73="1x")*ISNUMBER(Scorecard!E62:Scorecard!E73)*IF(ISNUMBER(Scorecard!E62:Scorecard!E73),Scorecard!E62:Scorecard!E73,0)),"-")</f>
        <v/>
      </c>
      <c r="D16" s="50">
        <f>IFERROR(SUMPRODUCT((Scorecard!D62:D73="2x")*ISNUMBER(Scorecard!F62:Scorecard!F73)*IF(ISNUMBER(Scorecard!F62:Scorecard!F73),Scorecard!F62:Scorecard!F73,0)*2)+SUMPRODUCT((Scorecard!D62:D73="1x")*ISNUMBER(Scorecard!F62:Scorecard!F73)*IF(ISNUMBER(Scorecard!F62:Scorecard!F73),Scorecard!F62:Scorecard!F73,0)),"-")</f>
        <v/>
      </c>
      <c r="E16" s="50">
        <f>IFERROR(SUMPRODUCT((Scorecard!D62:D73="2x")*ISNUMBER(Scorecard!G62:Scorecard!G73)*IF(ISNUMBER(Scorecard!G62:Scorecard!G73),Scorecard!G62:Scorecard!G73,0)*2)+SUMPRODUCT((Scorecard!D62:D73="1x")*ISNUMBER(Scorecard!G62:Scorecard!G73)*IF(ISNUMBER(Scorecard!G62:Scorecard!G73),Scorecard!G62:Scorecard!G73,0)),"-")</f>
        <v/>
      </c>
      <c r="F16" s="50">
        <f>IFERROR(SUMPRODUCT((Scorecard!D62:D73="2x")*ISNUMBER(Scorecard!H62:Scorecard!H73)*IF(ISNUMBER(Scorecard!H62:Scorecard!H73),Scorecard!H62:Scorecard!H73,0)*2)+SUMPRODUCT((Scorecard!D62:D73="1x")*ISNUMBER(Scorecard!H62:Scorecard!H73)*IF(ISNUMBER(Scorecard!H62:Scorecard!H73),Scorecard!H62:Scorecard!H73,0)),"-")</f>
        <v/>
      </c>
      <c r="G16" s="50">
        <f>IFERROR(SUMPRODUCT((Scorecard!D62:D73="2x")*ISNUMBER(Scorecard!I62:Scorecard!I73)*IF(ISNUMBER(Scorecard!I62:Scorecard!I73),Scorecard!I62:Scorecard!I73,0)*2)+SUMPRODUCT((Scorecard!D62:D73="1x")*ISNUMBER(Scorecard!I62:Scorecard!I73)*IF(ISNUMBER(Scorecard!I62:Scorecard!I73),Scorecard!I62:Scorecard!I73,0)),"-")</f>
        <v/>
      </c>
      <c r="H16" s="50">
        <f>IFERROR(SUMPRODUCT((Scorecard!D62:D73="2x")*ISNUMBER(Scorecard!J62:Scorecard!J73)*IF(ISNUMBER(Scorecard!J62:Scorecard!J73),Scorecard!J62:Scorecard!J73,0)*2)+SUMPRODUCT((Scorecard!D62:D73="1x")*ISNUMBER(Scorecard!J62:Scorecard!J73)*IF(ISNUMBER(Scorecard!J62:Scorecard!J73),Scorecard!J62:Scorecard!J73,0)),"-")</f>
        <v/>
      </c>
      <c r="I16" s="50">
        <f>IFERROR(SUMPRODUCT((Scorecard!D62:D73="2x")*ISNUMBER(Scorecard!K62:Scorecard!K73)*IF(ISNUMBER(Scorecard!K62:Scorecard!K73),Scorecard!K62:Scorecard!K73,0)*2)+SUMPRODUCT((Scorecard!D62:D73="1x")*ISNUMBER(Scorecard!K62:Scorecard!K73)*IF(ISNUMBER(Scorecard!K62:Scorecard!K73),Scorecard!K62:Scorecard!K73,0)),"-")</f>
        <v/>
      </c>
      <c r="J16" s="50">
        <f>IFERROR(SUMPRODUCT((Scorecard!D62:D73="2x")*ISNUMBER(Scorecard!L62:Scorecard!L73)*IF(ISNUMBER(Scorecard!L62:Scorecard!L73),Scorecard!L62:Scorecard!L73,0)*2)+SUMPRODUCT((Scorecard!D62:D73="1x")*ISNUMBER(Scorecard!L62:Scorecard!L73)*IF(ISNUMBER(Scorecard!L62:Scorecard!L73),Scorecard!L62:Scorecard!L73,0)),"-")</f>
        <v/>
      </c>
    </row>
    <row r="17" ht="22" customHeight="1">
      <c r="B17" s="57" t="inlineStr">
        <is>
          <t>6. Vendor Viability &amp; Strategic Fit</t>
        </is>
      </c>
      <c r="C17" s="50">
        <f>IFERROR(SUMPRODUCT((Scorecard!D76:D83="2x")*ISNUMBER(Scorecard!E76:Scorecard!E83)*IF(ISNUMBER(Scorecard!E76:Scorecard!E83),Scorecard!E76:Scorecard!E83,0)*2)+SUMPRODUCT((Scorecard!D76:D83="1x")*ISNUMBER(Scorecard!E76:Scorecard!E83)*IF(ISNUMBER(Scorecard!E76:Scorecard!E83),Scorecard!E76:Scorecard!E83,0)),"-")</f>
        <v/>
      </c>
      <c r="D17" s="50">
        <f>IFERROR(SUMPRODUCT((Scorecard!D76:D83="2x")*ISNUMBER(Scorecard!F76:Scorecard!F83)*IF(ISNUMBER(Scorecard!F76:Scorecard!F83),Scorecard!F76:Scorecard!F83,0)*2)+SUMPRODUCT((Scorecard!D76:D83="1x")*ISNUMBER(Scorecard!F76:Scorecard!F83)*IF(ISNUMBER(Scorecard!F76:Scorecard!F83),Scorecard!F76:Scorecard!F83,0)),"-")</f>
        <v/>
      </c>
      <c r="E17" s="50">
        <f>IFERROR(SUMPRODUCT((Scorecard!D76:D83="2x")*ISNUMBER(Scorecard!G76:Scorecard!G83)*IF(ISNUMBER(Scorecard!G76:Scorecard!G83),Scorecard!G76:Scorecard!G83,0)*2)+SUMPRODUCT((Scorecard!D76:D83="1x")*ISNUMBER(Scorecard!G76:Scorecard!G83)*IF(ISNUMBER(Scorecard!G76:Scorecard!G83),Scorecard!G76:Scorecard!G83,0)),"-")</f>
        <v/>
      </c>
      <c r="F17" s="50">
        <f>IFERROR(SUMPRODUCT((Scorecard!D76:D83="2x")*ISNUMBER(Scorecard!H76:Scorecard!H83)*IF(ISNUMBER(Scorecard!H76:Scorecard!H83),Scorecard!H76:Scorecard!H83,0)*2)+SUMPRODUCT((Scorecard!D76:D83="1x")*ISNUMBER(Scorecard!H76:Scorecard!H83)*IF(ISNUMBER(Scorecard!H76:Scorecard!H83),Scorecard!H76:Scorecard!H83,0)),"-")</f>
        <v/>
      </c>
      <c r="G17" s="50">
        <f>IFERROR(SUMPRODUCT((Scorecard!D76:D83="2x")*ISNUMBER(Scorecard!I76:Scorecard!I83)*IF(ISNUMBER(Scorecard!I76:Scorecard!I83),Scorecard!I76:Scorecard!I83,0)*2)+SUMPRODUCT((Scorecard!D76:D83="1x")*ISNUMBER(Scorecard!I76:Scorecard!I83)*IF(ISNUMBER(Scorecard!I76:Scorecard!I83),Scorecard!I76:Scorecard!I83,0)),"-")</f>
        <v/>
      </c>
      <c r="H17" s="50">
        <f>IFERROR(SUMPRODUCT((Scorecard!D76:D83="2x")*ISNUMBER(Scorecard!J76:Scorecard!J83)*IF(ISNUMBER(Scorecard!J76:Scorecard!J83),Scorecard!J76:Scorecard!J83,0)*2)+SUMPRODUCT((Scorecard!D76:D83="1x")*ISNUMBER(Scorecard!J76:Scorecard!J83)*IF(ISNUMBER(Scorecard!J76:Scorecard!J83),Scorecard!J76:Scorecard!J83,0)),"-")</f>
        <v/>
      </c>
      <c r="I17" s="50">
        <f>IFERROR(SUMPRODUCT((Scorecard!D76:D83="2x")*ISNUMBER(Scorecard!K76:Scorecard!K83)*IF(ISNUMBER(Scorecard!K76:Scorecard!K83),Scorecard!K76:Scorecard!K83,0)*2)+SUMPRODUCT((Scorecard!D76:D83="1x")*ISNUMBER(Scorecard!K76:Scorecard!K83)*IF(ISNUMBER(Scorecard!K76:Scorecard!K83),Scorecard!K76:Scorecard!K83,0)),"-")</f>
        <v/>
      </c>
      <c r="J17" s="50">
        <f>IFERROR(SUMPRODUCT((Scorecard!D76:D83="2x")*ISNUMBER(Scorecard!L76:Scorecard!L83)*IF(ISNUMBER(Scorecard!L76:Scorecard!L83),Scorecard!L76:Scorecard!L83,0)*2)+SUMPRODUCT((Scorecard!D76:D83="1x")*ISNUMBER(Scorecard!L76:Scorecard!L83)*IF(ISNUMBER(Scorecard!L76:Scorecard!L83),Scorecard!L76:Scorecard!L83,0)),"-")</f>
        <v/>
      </c>
    </row>
    <row r="18" ht="10" customHeight="1"/>
    <row r="19" ht="20" customHeight="1">
      <c r="B19" s="22" t="inlineStr">
        <is>
          <t>DIMENSION-WEIGHTED COMPOSITE SCORE  (using weights from Setup sheet)</t>
        </is>
      </c>
    </row>
    <row r="20" ht="26" customHeight="1">
      <c r="B20" s="47" t="inlineStr">
        <is>
          <t>Composite score (0–100)</t>
        </is>
      </c>
      <c r="C20" s="58">
        <f>IFERROR((Setup!C17*IF(ISNUMBER(C12),C12/110*100,0))+(Setup!C18*IF(ISNUMBER(C13),C13/75*100,0))+(Setup!C19*IF(ISNUMBER(C14),C14/80*100,0))+(Setup!C20*IF(ISNUMBER(C15),C15/75*100,0))+(Setup!C21*IF(ISNUMBER(C16),C16/90*100,0))+(Setup!C22*IF(ISNUMBER(C17),C17/60*100,0)),"-")</f>
        <v/>
      </c>
      <c r="D20" s="58">
        <f>IFERROR((Setup!C17*IF(ISNUMBER(D12),D12/110*100,0))+(Setup!C18*IF(ISNUMBER(D13),D13/75*100,0))+(Setup!C19*IF(ISNUMBER(D14),D14/80*100,0))+(Setup!C20*IF(ISNUMBER(D15),D15/75*100,0))+(Setup!C21*IF(ISNUMBER(D16),D16/90*100,0))+(Setup!C22*IF(ISNUMBER(D17),D17/60*100,0)),"-")</f>
        <v/>
      </c>
      <c r="E20" s="58">
        <f>IFERROR((Setup!C17*IF(ISNUMBER(E12),E12/110*100,0))+(Setup!C18*IF(ISNUMBER(E13),E13/75*100,0))+(Setup!C19*IF(ISNUMBER(E14),E14/80*100,0))+(Setup!C20*IF(ISNUMBER(E15),E15/75*100,0))+(Setup!C21*IF(ISNUMBER(E16),E16/90*100,0))+(Setup!C22*IF(ISNUMBER(E17),E17/60*100,0)),"-")</f>
        <v/>
      </c>
      <c r="F20" s="58">
        <f>IFERROR((Setup!C17*IF(ISNUMBER(F12),F12/110*100,0))+(Setup!C18*IF(ISNUMBER(F13),F13/75*100,0))+(Setup!C19*IF(ISNUMBER(F14),F14/80*100,0))+(Setup!C20*IF(ISNUMBER(F15),F15/75*100,0))+(Setup!C21*IF(ISNUMBER(F16),F16/90*100,0))+(Setup!C22*IF(ISNUMBER(F17),F17/60*100,0)),"-")</f>
        <v/>
      </c>
      <c r="G20" s="58">
        <f>IFERROR((Setup!C17*IF(ISNUMBER(G12),G12/110*100,0))+(Setup!C18*IF(ISNUMBER(G13),G13/75*100,0))+(Setup!C19*IF(ISNUMBER(G14),G14/80*100,0))+(Setup!C20*IF(ISNUMBER(G15),G15/75*100,0))+(Setup!C21*IF(ISNUMBER(G16),G16/90*100,0))+(Setup!C22*IF(ISNUMBER(G17),G17/60*100,0)),"-")</f>
        <v/>
      </c>
      <c r="H20" s="58">
        <f>IFERROR((Setup!C17*IF(ISNUMBER(H12),H12/110*100,0))+(Setup!C18*IF(ISNUMBER(H13),H13/75*100,0))+(Setup!C19*IF(ISNUMBER(H14),H14/80*100,0))+(Setup!C20*IF(ISNUMBER(H15),H15/75*100,0))+(Setup!C21*IF(ISNUMBER(H16),H16/90*100,0))+(Setup!C22*IF(ISNUMBER(H17),H17/60*100,0)),"-")</f>
        <v/>
      </c>
      <c r="I20" s="58">
        <f>IFERROR((Setup!C17*IF(ISNUMBER(I12),I12/110*100,0))+(Setup!C18*IF(ISNUMBER(I13),I13/75*100,0))+(Setup!C19*IF(ISNUMBER(I14),I14/80*100,0))+(Setup!C20*IF(ISNUMBER(I15),I15/75*100,0))+(Setup!C21*IF(ISNUMBER(I16),I16/90*100,0))+(Setup!C22*IF(ISNUMBER(I17),I17/60*100,0)),"-")</f>
        <v/>
      </c>
      <c r="J20" s="58">
        <f>IFERROR((Setup!C17*IF(ISNUMBER(J12),J12/110*100,0))+(Setup!C18*IF(ISNUMBER(J13),J13/75*100,0))+(Setup!C19*IF(ISNUMBER(J14),J14/80*100,0))+(Setup!C20*IF(ISNUMBER(J15),J15/75*100,0))+(Setup!C21*IF(ISNUMBER(J16),J16/90*100,0))+(Setup!C22*IF(ISNUMBER(J17),J17/60*100,0)),"-")</f>
        <v/>
      </c>
    </row>
    <row r="22" ht="20" customHeight="1">
      <c r="B22" s="51" t="inlineStr">
        <is>
          <t>RECOMMENDATION</t>
        </is>
      </c>
    </row>
    <row r="23" ht="72" customHeight="1">
      <c r="B23" s="59" t="inlineStr">
        <is>
          <t>Add your recommendation and rationale here.</t>
        </is>
      </c>
    </row>
  </sheetData>
  <mergeCells count="5">
    <mergeCell ref="B23:K23"/>
    <mergeCell ref="B22:K22"/>
    <mergeCell ref="B2:K2"/>
    <mergeCell ref="B11:K11"/>
    <mergeCell ref="B19: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4"/>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36" customWidth="1" min="3" max="3"/>
    <col width="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2" customWidth="1" min="13" max="13"/>
  </cols>
  <sheetData>
    <row r="1" ht="8" customHeight="1">
      <c r="A1" s="1" t="n"/>
      <c r="B1" s="1" t="n"/>
      <c r="C1" s="1" t="n"/>
      <c r="D1" s="1" t="n"/>
      <c r="E1" s="1" t="n"/>
      <c r="F1" s="1" t="n"/>
      <c r="G1" s="1" t="n"/>
      <c r="H1" s="1" t="n"/>
      <c r="I1" s="1" t="n"/>
      <c r="J1" s="1" t="n"/>
      <c r="K1" s="1" t="n"/>
      <c r="L1" s="1" t="n"/>
      <c r="M1" s="1" t="n"/>
    </row>
    <row r="2" ht="44" customHeight="1">
      <c r="A2" s="1" t="n"/>
      <c r="B2" s="17" t="inlineStr">
        <is>
          <t>Gap Analysis — Criteria Scoring Below Threshold</t>
        </is>
      </c>
      <c r="M2" s="1" t="n"/>
    </row>
    <row r="3" ht="4" customHeight="1">
      <c r="A3" s="3" t="n"/>
      <c r="B3" s="3" t="n"/>
      <c r="C3" s="3" t="n"/>
      <c r="D3" s="3" t="n"/>
      <c r="E3" s="3" t="n"/>
      <c r="F3" s="3" t="n"/>
      <c r="G3" s="3" t="n"/>
      <c r="H3" s="3" t="n"/>
      <c r="I3" s="3" t="n"/>
      <c r="J3" s="3" t="n"/>
      <c r="K3" s="3" t="n"/>
      <c r="L3" s="3" t="n"/>
      <c r="M3" s="3" t="n"/>
    </row>
    <row r="4" ht="8" customHeight="1">
      <c r="A4" s="1" t="n"/>
      <c r="B4" s="1" t="n"/>
      <c r="C4" s="1" t="n"/>
      <c r="D4" s="1" t="n"/>
      <c r="E4" s="1" t="n"/>
      <c r="F4" s="1" t="n"/>
      <c r="G4" s="1" t="n"/>
      <c r="H4" s="1" t="n"/>
      <c r="I4" s="1" t="n"/>
      <c r="J4" s="1" t="n"/>
      <c r="K4" s="1" t="n"/>
      <c r="L4" s="1" t="n"/>
      <c r="M4" s="1" t="n"/>
    </row>
    <row r="5" ht="20" customHeight="1">
      <c r="B5" s="60" t="inlineStr">
        <is>
          <t>Red = score 0–1 (fails/poor)   ·   Amber = score 2–3 (gaps)   ·   Green = score 4–5 (strong)   ·   Grey = not yet scored</t>
        </is>
      </c>
    </row>
    <row r="6" ht="8" customHeight="1"/>
    <row r="7" ht="20" customHeight="1">
      <c r="B7" s="21" t="inlineStr">
        <is>
          <t>#</t>
        </is>
      </c>
      <c r="C7" s="21" t="inlineStr">
        <is>
          <t>CRITERION</t>
        </is>
      </c>
      <c r="D7" s="21" t="inlineStr">
        <is>
          <t>WT</t>
        </is>
      </c>
      <c r="E7" s="21" t="inlineStr">
        <is>
          <t>V1</t>
        </is>
      </c>
      <c r="F7" s="21" t="inlineStr">
        <is>
          <t>V2</t>
        </is>
      </c>
      <c r="G7" s="21" t="inlineStr">
        <is>
          <t>V3</t>
        </is>
      </c>
      <c r="H7" s="21" t="inlineStr">
        <is>
          <t>V4</t>
        </is>
      </c>
      <c r="I7" s="21" t="inlineStr">
        <is>
          <t>V5</t>
        </is>
      </c>
      <c r="J7" s="21" t="inlineStr">
        <is>
          <t>V6</t>
        </is>
      </c>
      <c r="K7" s="21" t="inlineStr">
        <is>
          <t>V7</t>
        </is>
      </c>
      <c r="L7" s="21" t="inlineStr">
        <is>
          <t>V8</t>
        </is>
      </c>
    </row>
    <row r="8" ht="20" customHeight="1">
      <c r="B8" s="22" t="inlineStr">
        <is>
          <t>1. FUNCTIONALITY &amp; FEATURES</t>
        </is>
      </c>
    </row>
    <row r="9" ht="20" customHeight="1">
      <c r="B9" s="23" t="inlineStr">
        <is>
          <t>1.01</t>
        </is>
      </c>
      <c r="C9" s="24" t="inlineStr">
        <is>
          <t>Expense submission via mobile app (iOS &amp; Android)  ★</t>
        </is>
      </c>
      <c r="D9" s="61" t="inlineStr">
        <is>
          <t>2x</t>
        </is>
      </c>
      <c r="E9" s="62">
        <f>Scorecard!E9</f>
        <v/>
      </c>
      <c r="F9" s="62">
        <f>Scorecard!F9</f>
        <v/>
      </c>
      <c r="G9" s="62">
        <f>Scorecard!G9</f>
        <v/>
      </c>
      <c r="H9" s="62">
        <f>Scorecard!H9</f>
        <v/>
      </c>
      <c r="I9" s="62">
        <f>Scorecard!I9</f>
        <v/>
      </c>
      <c r="J9" s="62">
        <f>Scorecard!J9</f>
        <v/>
      </c>
      <c r="K9" s="62">
        <f>Scorecard!K9</f>
        <v/>
      </c>
      <c r="L9" s="62">
        <f>Scorecard!L9</f>
        <v/>
      </c>
    </row>
    <row r="10" ht="20" customHeight="1">
      <c r="B10" s="28" t="inlineStr">
        <is>
          <t>1.02</t>
        </is>
      </c>
      <c r="C10" s="29" t="inlineStr">
        <is>
          <t>Receipt capture via OCR / AI photo scan  ★</t>
        </is>
      </c>
      <c r="D10" s="63" t="inlineStr">
        <is>
          <t>2x</t>
        </is>
      </c>
      <c r="E10" s="50">
        <f>Scorecard!E10</f>
        <v/>
      </c>
      <c r="F10" s="50">
        <f>Scorecard!F10</f>
        <v/>
      </c>
      <c r="G10" s="50">
        <f>Scorecard!G10</f>
        <v/>
      </c>
      <c r="H10" s="50">
        <f>Scorecard!H10</f>
        <v/>
      </c>
      <c r="I10" s="50">
        <f>Scorecard!I10</f>
        <v/>
      </c>
      <c r="J10" s="50">
        <f>Scorecard!J10</f>
        <v/>
      </c>
      <c r="K10" s="50">
        <f>Scorecard!K10</f>
        <v/>
      </c>
      <c r="L10" s="50">
        <f>Scorecard!L10</f>
        <v/>
      </c>
    </row>
    <row r="11" ht="20" customHeight="1">
      <c r="B11" s="23" t="inlineStr">
        <is>
          <t>1.03</t>
        </is>
      </c>
      <c r="C11" s="24" t="inlineStr">
        <is>
          <t>Multi-currency support and real-time exchange rate updates  ★</t>
        </is>
      </c>
      <c r="D11" s="61" t="inlineStr">
        <is>
          <t>2x</t>
        </is>
      </c>
      <c r="E11" s="62">
        <f>Scorecard!E11</f>
        <v/>
      </c>
      <c r="F11" s="62">
        <f>Scorecard!F11</f>
        <v/>
      </c>
      <c r="G11" s="62">
        <f>Scorecard!G11</f>
        <v/>
      </c>
      <c r="H11" s="62">
        <f>Scorecard!H11</f>
        <v/>
      </c>
      <c r="I11" s="62">
        <f>Scorecard!I11</f>
        <v/>
      </c>
      <c r="J11" s="62">
        <f>Scorecard!J11</f>
        <v/>
      </c>
      <c r="K11" s="62">
        <f>Scorecard!K11</f>
        <v/>
      </c>
      <c r="L11" s="62">
        <f>Scorecard!L11</f>
        <v/>
      </c>
    </row>
    <row r="12" ht="20" customHeight="1">
      <c r="B12" s="28" t="inlineStr">
        <is>
          <t>1.04</t>
        </is>
      </c>
      <c r="C12" s="29" t="inlineStr">
        <is>
          <t>Automated policy checking and real-time flagging  ★</t>
        </is>
      </c>
      <c r="D12" s="63" t="inlineStr">
        <is>
          <t>2x</t>
        </is>
      </c>
      <c r="E12" s="50">
        <f>Scorecard!E12</f>
        <v/>
      </c>
      <c r="F12" s="50">
        <f>Scorecard!F12</f>
        <v/>
      </c>
      <c r="G12" s="50">
        <f>Scorecard!G12</f>
        <v/>
      </c>
      <c r="H12" s="50">
        <f>Scorecard!H12</f>
        <v/>
      </c>
      <c r="I12" s="50">
        <f>Scorecard!I12</f>
        <v/>
      </c>
      <c r="J12" s="50">
        <f>Scorecard!J12</f>
        <v/>
      </c>
      <c r="K12" s="50">
        <f>Scorecard!K12</f>
        <v/>
      </c>
      <c r="L12" s="50">
        <f>Scorecard!L12</f>
        <v/>
      </c>
    </row>
    <row r="13" ht="20" customHeight="1">
      <c r="B13" s="23" t="inlineStr">
        <is>
          <t>1.05</t>
        </is>
      </c>
      <c r="C13" s="24" t="inlineStr">
        <is>
          <t>Configurable approval workflows (multi-level, threshold, entity)  ★</t>
        </is>
      </c>
      <c r="D13" s="61" t="inlineStr">
        <is>
          <t>2x</t>
        </is>
      </c>
      <c r="E13" s="62">
        <f>Scorecard!E13</f>
        <v/>
      </c>
      <c r="F13" s="62">
        <f>Scorecard!F13</f>
        <v/>
      </c>
      <c r="G13" s="62">
        <f>Scorecard!G13</f>
        <v/>
      </c>
      <c r="H13" s="62">
        <f>Scorecard!H13</f>
        <v/>
      </c>
      <c r="I13" s="62">
        <f>Scorecard!I13</f>
        <v/>
      </c>
      <c r="J13" s="62">
        <f>Scorecard!J13</f>
        <v/>
      </c>
      <c r="K13" s="62">
        <f>Scorecard!K13</f>
        <v/>
      </c>
      <c r="L13" s="62">
        <f>Scorecard!L13</f>
        <v/>
      </c>
    </row>
    <row r="14" ht="20" customHeight="1">
      <c r="B14" s="28" t="inlineStr">
        <is>
          <t>1.06</t>
        </is>
      </c>
      <c r="C14" s="29" t="inlineStr">
        <is>
          <t>Corporate card integration and automatic transaction import  ★</t>
        </is>
      </c>
      <c r="D14" s="63" t="inlineStr">
        <is>
          <t>2x</t>
        </is>
      </c>
      <c r="E14" s="50">
        <f>Scorecard!E14</f>
        <v/>
      </c>
      <c r="F14" s="50">
        <f>Scorecard!F14</f>
        <v/>
      </c>
      <c r="G14" s="50">
        <f>Scorecard!G14</f>
        <v/>
      </c>
      <c r="H14" s="50">
        <f>Scorecard!H14</f>
        <v/>
      </c>
      <c r="I14" s="50">
        <f>Scorecard!I14</f>
        <v/>
      </c>
      <c r="J14" s="50">
        <f>Scorecard!J14</f>
        <v/>
      </c>
      <c r="K14" s="50">
        <f>Scorecard!K14</f>
        <v/>
      </c>
      <c r="L14" s="50">
        <f>Scorecard!L14</f>
        <v/>
      </c>
    </row>
    <row r="15" ht="20" customHeight="1">
      <c r="B15" s="23" t="inlineStr">
        <is>
          <t>1.07</t>
        </is>
      </c>
      <c r="C15" s="33" t="inlineStr">
        <is>
          <t>Per diem and mileage calculation engine</t>
        </is>
      </c>
      <c r="D15" s="23" t="inlineStr">
        <is>
          <t>1x</t>
        </is>
      </c>
      <c r="E15" s="62">
        <f>Scorecard!E15</f>
        <v/>
      </c>
      <c r="F15" s="62">
        <f>Scorecard!F15</f>
        <v/>
      </c>
      <c r="G15" s="62">
        <f>Scorecard!G15</f>
        <v/>
      </c>
      <c r="H15" s="62">
        <f>Scorecard!H15</f>
        <v/>
      </c>
      <c r="I15" s="62">
        <f>Scorecard!I15</f>
        <v/>
      </c>
      <c r="J15" s="62">
        <f>Scorecard!J15</f>
        <v/>
      </c>
      <c r="K15" s="62">
        <f>Scorecard!K15</f>
        <v/>
      </c>
      <c r="L15" s="62">
        <f>Scorecard!L15</f>
        <v/>
      </c>
    </row>
    <row r="16" ht="20" customHeight="1">
      <c r="B16" s="28" t="inlineStr">
        <is>
          <t>1.08</t>
        </is>
      </c>
      <c r="C16" s="34" t="inlineStr">
        <is>
          <t>Offline mode for expense submission without connectivity</t>
        </is>
      </c>
      <c r="D16" s="28" t="inlineStr">
        <is>
          <t>1x</t>
        </is>
      </c>
      <c r="E16" s="50">
        <f>Scorecard!E16</f>
        <v/>
      </c>
      <c r="F16" s="50">
        <f>Scorecard!F16</f>
        <v/>
      </c>
      <c r="G16" s="50">
        <f>Scorecard!G16</f>
        <v/>
      </c>
      <c r="H16" s="50">
        <f>Scorecard!H16</f>
        <v/>
      </c>
      <c r="I16" s="50">
        <f>Scorecard!I16</f>
        <v/>
      </c>
      <c r="J16" s="50">
        <f>Scorecard!J16</f>
        <v/>
      </c>
      <c r="K16" s="50">
        <f>Scorecard!K16</f>
        <v/>
      </c>
      <c r="L16" s="50">
        <f>Scorecard!L16</f>
        <v/>
      </c>
    </row>
    <row r="17" ht="20" customHeight="1">
      <c r="B17" s="23" t="inlineStr">
        <is>
          <t>1.09</t>
        </is>
      </c>
      <c r="C17" s="33" t="inlineStr">
        <is>
          <t>Spend analytics and reporting dashboard</t>
        </is>
      </c>
      <c r="D17" s="23" t="inlineStr">
        <is>
          <t>1x</t>
        </is>
      </c>
      <c r="E17" s="62">
        <f>Scorecard!E17</f>
        <v/>
      </c>
      <c r="F17" s="62">
        <f>Scorecard!F17</f>
        <v/>
      </c>
      <c r="G17" s="62">
        <f>Scorecard!G17</f>
        <v/>
      </c>
      <c r="H17" s="62">
        <f>Scorecard!H17</f>
        <v/>
      </c>
      <c r="I17" s="62">
        <f>Scorecard!I17</f>
        <v/>
      </c>
      <c r="J17" s="62">
        <f>Scorecard!J17</f>
        <v/>
      </c>
      <c r="K17" s="62">
        <f>Scorecard!K17</f>
        <v/>
      </c>
      <c r="L17" s="62">
        <f>Scorecard!L17</f>
        <v/>
      </c>
    </row>
    <row r="18" ht="20" customHeight="1">
      <c r="B18" s="28" t="inlineStr">
        <is>
          <t>1.10</t>
        </is>
      </c>
      <c r="C18" s="34" t="inlineStr">
        <is>
          <t>Bulk approval and finance review workflows</t>
        </is>
      </c>
      <c r="D18" s="28" t="inlineStr">
        <is>
          <t>1x</t>
        </is>
      </c>
      <c r="E18" s="50">
        <f>Scorecard!E18</f>
        <v/>
      </c>
      <c r="F18" s="50">
        <f>Scorecard!F18</f>
        <v/>
      </c>
      <c r="G18" s="50">
        <f>Scorecard!G18</f>
        <v/>
      </c>
      <c r="H18" s="50">
        <f>Scorecard!H18</f>
        <v/>
      </c>
      <c r="I18" s="50">
        <f>Scorecard!I18</f>
        <v/>
      </c>
      <c r="J18" s="50">
        <f>Scorecard!J18</f>
        <v/>
      </c>
      <c r="K18" s="50">
        <f>Scorecard!K18</f>
        <v/>
      </c>
      <c r="L18" s="50">
        <f>Scorecard!L18</f>
        <v/>
      </c>
    </row>
    <row r="19" ht="20" customHeight="1">
      <c r="B19" s="23" t="inlineStr">
        <is>
          <t>1.11</t>
        </is>
      </c>
      <c r="C19" s="33" t="inlineStr">
        <is>
          <t>AI-powered duplicate expense detection</t>
        </is>
      </c>
      <c r="D19" s="23" t="inlineStr">
        <is>
          <t>1x</t>
        </is>
      </c>
      <c r="E19" s="62">
        <f>Scorecard!E19</f>
        <v/>
      </c>
      <c r="F19" s="62">
        <f>Scorecard!F19</f>
        <v/>
      </c>
      <c r="G19" s="62">
        <f>Scorecard!G19</f>
        <v/>
      </c>
      <c r="H19" s="62">
        <f>Scorecard!H19</f>
        <v/>
      </c>
      <c r="I19" s="62">
        <f>Scorecard!I19</f>
        <v/>
      </c>
      <c r="J19" s="62">
        <f>Scorecard!J19</f>
        <v/>
      </c>
      <c r="K19" s="62">
        <f>Scorecard!K19</f>
        <v/>
      </c>
      <c r="L19" s="62">
        <f>Scorecard!L19</f>
        <v/>
      </c>
    </row>
    <row r="20" ht="20" customHeight="1">
      <c r="B20" s="28" t="inlineStr">
        <is>
          <t>1.12</t>
        </is>
      </c>
      <c r="C20" s="34" t="inlineStr">
        <is>
          <t>Vendor / merchant category code management</t>
        </is>
      </c>
      <c r="D20" s="28" t="inlineStr">
        <is>
          <t>1x</t>
        </is>
      </c>
      <c r="E20" s="50">
        <f>Scorecard!E20</f>
        <v/>
      </c>
      <c r="F20" s="50">
        <f>Scorecard!F20</f>
        <v/>
      </c>
      <c r="G20" s="50">
        <f>Scorecard!G20</f>
        <v/>
      </c>
      <c r="H20" s="50">
        <f>Scorecard!H20</f>
        <v/>
      </c>
      <c r="I20" s="50">
        <f>Scorecard!I20</f>
        <v/>
      </c>
      <c r="J20" s="50">
        <f>Scorecard!J20</f>
        <v/>
      </c>
      <c r="K20" s="50">
        <f>Scorecard!K20</f>
        <v/>
      </c>
      <c r="L20" s="50">
        <f>Scorecard!L20</f>
        <v/>
      </c>
    </row>
    <row r="21" ht="20" customHeight="1">
      <c r="B21" s="23" t="inlineStr">
        <is>
          <t>1.13</t>
        </is>
      </c>
      <c r="C21" s="24" t="inlineStr">
        <is>
          <t>Multi-entity and multi-company support in single instance  ★</t>
        </is>
      </c>
      <c r="D21" s="61" t="inlineStr">
        <is>
          <t>2x</t>
        </is>
      </c>
      <c r="E21" s="62">
        <f>Scorecard!E21</f>
        <v/>
      </c>
      <c r="F21" s="62">
        <f>Scorecard!F21</f>
        <v/>
      </c>
      <c r="G21" s="62">
        <f>Scorecard!G21</f>
        <v/>
      </c>
      <c r="H21" s="62">
        <f>Scorecard!H21</f>
        <v/>
      </c>
      <c r="I21" s="62">
        <f>Scorecard!I21</f>
        <v/>
      </c>
      <c r="J21" s="62">
        <f>Scorecard!J21</f>
        <v/>
      </c>
      <c r="K21" s="62">
        <f>Scorecard!K21</f>
        <v/>
      </c>
      <c r="L21" s="62">
        <f>Scorecard!L21</f>
        <v/>
      </c>
    </row>
    <row r="22" ht="20" customHeight="1">
      <c r="B22" s="28" t="inlineStr">
        <is>
          <t>1.14</t>
        </is>
      </c>
      <c r="C22" s="34" t="inlineStr">
        <is>
          <t>Budget vs actual integration and alerting</t>
        </is>
      </c>
      <c r="D22" s="28" t="inlineStr">
        <is>
          <t>1x</t>
        </is>
      </c>
      <c r="E22" s="50">
        <f>Scorecard!E22</f>
        <v/>
      </c>
      <c r="F22" s="50">
        <f>Scorecard!F22</f>
        <v/>
      </c>
      <c r="G22" s="50">
        <f>Scorecard!G22</f>
        <v/>
      </c>
      <c r="H22" s="50">
        <f>Scorecard!H22</f>
        <v/>
      </c>
      <c r="I22" s="50">
        <f>Scorecard!I22</f>
        <v/>
      </c>
      <c r="J22" s="50">
        <f>Scorecard!J22</f>
        <v/>
      </c>
      <c r="K22" s="50">
        <f>Scorecard!K22</f>
        <v/>
      </c>
      <c r="L22" s="50">
        <f>Scorecard!L22</f>
        <v/>
      </c>
    </row>
    <row r="23" ht="20" customHeight="1">
      <c r="B23" s="23" t="inlineStr">
        <is>
          <t>1.15</t>
        </is>
      </c>
      <c r="C23" s="33" t="inlineStr">
        <is>
          <t>Delegation / out-of-office approval routing</t>
        </is>
      </c>
      <c r="D23" s="23" t="inlineStr">
        <is>
          <t>1x</t>
        </is>
      </c>
      <c r="E23" s="62">
        <f>Scorecard!E23</f>
        <v/>
      </c>
      <c r="F23" s="62">
        <f>Scorecard!F23</f>
        <v/>
      </c>
      <c r="G23" s="62">
        <f>Scorecard!G23</f>
        <v/>
      </c>
      <c r="H23" s="62">
        <f>Scorecard!H23</f>
        <v/>
      </c>
      <c r="I23" s="62">
        <f>Scorecard!I23</f>
        <v/>
      </c>
      <c r="J23" s="62">
        <f>Scorecard!J23</f>
        <v/>
      </c>
      <c r="K23" s="62">
        <f>Scorecard!K23</f>
        <v/>
      </c>
      <c r="L23" s="62">
        <f>Scorecard!L23</f>
        <v/>
      </c>
    </row>
    <row r="24" ht="5" customHeight="1">
      <c r="B24" s="35" t="n"/>
      <c r="C24" s="35" t="n"/>
      <c r="D24" s="35" t="n"/>
      <c r="E24" s="35" t="n"/>
      <c r="F24" s="35" t="n"/>
      <c r="G24" s="35" t="n"/>
      <c r="H24" s="35" t="n"/>
      <c r="I24" s="35" t="n"/>
      <c r="J24" s="35" t="n"/>
      <c r="K24" s="35" t="n"/>
      <c r="L24" s="35" t="n"/>
      <c r="M24" s="35" t="n"/>
    </row>
    <row r="25" ht="20" customHeight="1">
      <c r="B25" s="36" t="inlineStr">
        <is>
          <t>2. INTEGRATION &amp; TECHNICAL ARCHITECTURE</t>
        </is>
      </c>
    </row>
    <row r="26" ht="20" customHeight="1">
      <c r="B26" s="28" t="inlineStr">
        <is>
          <t>2.01</t>
        </is>
      </c>
      <c r="C26" s="29" t="inlineStr">
        <is>
          <t>Native ERP connector (SAP S/4HANA, Dynamics 365, NetSuite, Oracle)  ★</t>
        </is>
      </c>
      <c r="D26" s="63" t="inlineStr">
        <is>
          <t>2x</t>
        </is>
      </c>
      <c r="E26" s="50">
        <f>Scorecard!E26</f>
        <v/>
      </c>
      <c r="F26" s="50">
        <f>Scorecard!F26</f>
        <v/>
      </c>
      <c r="G26" s="50">
        <f>Scorecard!G26</f>
        <v/>
      </c>
      <c r="H26" s="50">
        <f>Scorecard!H26</f>
        <v/>
      </c>
      <c r="I26" s="50">
        <f>Scorecard!I26</f>
        <v/>
      </c>
      <c r="J26" s="50">
        <f>Scorecard!J26</f>
        <v/>
      </c>
      <c r="K26" s="50">
        <f>Scorecard!K26</f>
        <v/>
      </c>
      <c r="L26" s="50">
        <f>Scorecard!L26</f>
        <v/>
      </c>
    </row>
    <row r="27" ht="20" customHeight="1">
      <c r="B27" s="23" t="inlineStr">
        <is>
          <t>2.02</t>
        </is>
      </c>
      <c r="C27" s="24" t="inlineStr">
        <is>
          <t>HRIS / payroll system integration (SAP HCM, Workday, BambooHR)  ★</t>
        </is>
      </c>
      <c r="D27" s="61" t="inlineStr">
        <is>
          <t>2x</t>
        </is>
      </c>
      <c r="E27" s="62">
        <f>Scorecard!E27</f>
        <v/>
      </c>
      <c r="F27" s="62">
        <f>Scorecard!F27</f>
        <v/>
      </c>
      <c r="G27" s="62">
        <f>Scorecard!G27</f>
        <v/>
      </c>
      <c r="H27" s="62">
        <f>Scorecard!H27</f>
        <v/>
      </c>
      <c r="I27" s="62">
        <f>Scorecard!I27</f>
        <v/>
      </c>
      <c r="J27" s="62">
        <f>Scorecard!J27</f>
        <v/>
      </c>
      <c r="K27" s="62">
        <f>Scorecard!K27</f>
        <v/>
      </c>
      <c r="L27" s="62">
        <f>Scorecard!L27</f>
        <v/>
      </c>
    </row>
    <row r="28" ht="20" customHeight="1">
      <c r="B28" s="28" t="inlineStr">
        <is>
          <t>2.03</t>
        </is>
      </c>
      <c r="C28" s="29" t="inlineStr">
        <is>
          <t>Corporate card provider integration (Amex, Visa, Mastercard GMS)  ★</t>
        </is>
      </c>
      <c r="D28" s="63" t="inlineStr">
        <is>
          <t>2x</t>
        </is>
      </c>
      <c r="E28" s="50">
        <f>Scorecard!E28</f>
        <v/>
      </c>
      <c r="F28" s="50">
        <f>Scorecard!F28</f>
        <v/>
      </c>
      <c r="G28" s="50">
        <f>Scorecard!G28</f>
        <v/>
      </c>
      <c r="H28" s="50">
        <f>Scorecard!H28</f>
        <v/>
      </c>
      <c r="I28" s="50">
        <f>Scorecard!I28</f>
        <v/>
      </c>
      <c r="J28" s="50">
        <f>Scorecard!J28</f>
        <v/>
      </c>
      <c r="K28" s="50">
        <f>Scorecard!K28</f>
        <v/>
      </c>
      <c r="L28" s="50">
        <f>Scorecard!L28</f>
        <v/>
      </c>
    </row>
    <row r="29" ht="20" customHeight="1">
      <c r="B29" s="23" t="inlineStr">
        <is>
          <t>2.04</t>
        </is>
      </c>
      <c r="C29" s="33" t="inlineStr">
        <is>
          <t>Travel booking tool integration (Concur Travel, Cytric, TravelPerk)</t>
        </is>
      </c>
      <c r="D29" s="23" t="inlineStr">
        <is>
          <t>1x</t>
        </is>
      </c>
      <c r="E29" s="62">
        <f>Scorecard!E29</f>
        <v/>
      </c>
      <c r="F29" s="62">
        <f>Scorecard!F29</f>
        <v/>
      </c>
      <c r="G29" s="62">
        <f>Scorecard!G29</f>
        <v/>
      </c>
      <c r="H29" s="62">
        <f>Scorecard!H29</f>
        <v/>
      </c>
      <c r="I29" s="62">
        <f>Scorecard!I29</f>
        <v/>
      </c>
      <c r="J29" s="62">
        <f>Scorecard!J29</f>
        <v/>
      </c>
      <c r="K29" s="62">
        <f>Scorecard!K29</f>
        <v/>
      </c>
      <c r="L29" s="62">
        <f>Scorecard!L29</f>
        <v/>
      </c>
    </row>
    <row r="30" ht="20" customHeight="1">
      <c r="B30" s="28" t="inlineStr">
        <is>
          <t>2.05</t>
        </is>
      </c>
      <c r="C30" s="34" t="inlineStr">
        <is>
          <t>REST API availability for custom integrations</t>
        </is>
      </c>
      <c r="D30" s="28" t="inlineStr">
        <is>
          <t>1x</t>
        </is>
      </c>
      <c r="E30" s="50">
        <f>Scorecard!E30</f>
        <v/>
      </c>
      <c r="F30" s="50">
        <f>Scorecard!F30</f>
        <v/>
      </c>
      <c r="G30" s="50">
        <f>Scorecard!G30</f>
        <v/>
      </c>
      <c r="H30" s="50">
        <f>Scorecard!H30</f>
        <v/>
      </c>
      <c r="I30" s="50">
        <f>Scorecard!I30</f>
        <v/>
      </c>
      <c r="J30" s="50">
        <f>Scorecard!J30</f>
        <v/>
      </c>
      <c r="K30" s="50">
        <f>Scorecard!K30</f>
        <v/>
      </c>
      <c r="L30" s="50">
        <f>Scorecard!L30</f>
        <v/>
      </c>
    </row>
    <row r="31" ht="20" customHeight="1">
      <c r="B31" s="23" t="inlineStr">
        <is>
          <t>2.06</t>
        </is>
      </c>
      <c r="C31" s="24" t="inlineStr">
        <is>
          <t>SSO / identity provider integration (Azure AD, Okta, Google)  ★</t>
        </is>
      </c>
      <c r="D31" s="61" t="inlineStr">
        <is>
          <t>2x</t>
        </is>
      </c>
      <c r="E31" s="62">
        <f>Scorecard!E31</f>
        <v/>
      </c>
      <c r="F31" s="62">
        <f>Scorecard!F31</f>
        <v/>
      </c>
      <c r="G31" s="62">
        <f>Scorecard!G31</f>
        <v/>
      </c>
      <c r="H31" s="62">
        <f>Scorecard!H31</f>
        <v/>
      </c>
      <c r="I31" s="62">
        <f>Scorecard!I31</f>
        <v/>
      </c>
      <c r="J31" s="62">
        <f>Scorecard!J31</f>
        <v/>
      </c>
      <c r="K31" s="62">
        <f>Scorecard!K31</f>
        <v/>
      </c>
      <c r="L31" s="62">
        <f>Scorecard!L31</f>
        <v/>
      </c>
    </row>
    <row r="32" ht="20" customHeight="1">
      <c r="B32" s="28" t="inlineStr">
        <is>
          <t>2.07</t>
        </is>
      </c>
      <c r="C32" s="34" t="inlineStr">
        <is>
          <t>Webhook / event-driven integration for real-time data flows</t>
        </is>
      </c>
      <c r="D32" s="28" t="inlineStr">
        <is>
          <t>1x</t>
        </is>
      </c>
      <c r="E32" s="50">
        <f>Scorecard!E32</f>
        <v/>
      </c>
      <c r="F32" s="50">
        <f>Scorecard!F32</f>
        <v/>
      </c>
      <c r="G32" s="50">
        <f>Scorecard!G32</f>
        <v/>
      </c>
      <c r="H32" s="50">
        <f>Scorecard!H32</f>
        <v/>
      </c>
      <c r="I32" s="50">
        <f>Scorecard!I32</f>
        <v/>
      </c>
      <c r="J32" s="50">
        <f>Scorecard!J32</f>
        <v/>
      </c>
      <c r="K32" s="50">
        <f>Scorecard!K32</f>
        <v/>
      </c>
      <c r="L32" s="50">
        <f>Scorecard!L32</f>
        <v/>
      </c>
    </row>
    <row r="33" ht="20" customHeight="1">
      <c r="B33" s="23" t="inlineStr">
        <is>
          <t>2.08</t>
        </is>
      </c>
      <c r="C33" s="33" t="inlineStr">
        <is>
          <t>Data export formats (CSV, XML, EDIFACT, custom flat file)</t>
        </is>
      </c>
      <c r="D33" s="23" t="inlineStr">
        <is>
          <t>1x</t>
        </is>
      </c>
      <c r="E33" s="62">
        <f>Scorecard!E33</f>
        <v/>
      </c>
      <c r="F33" s="62">
        <f>Scorecard!F33</f>
        <v/>
      </c>
      <c r="G33" s="62">
        <f>Scorecard!G33</f>
        <v/>
      </c>
      <c r="H33" s="62">
        <f>Scorecard!H33</f>
        <v/>
      </c>
      <c r="I33" s="62">
        <f>Scorecard!I33</f>
        <v/>
      </c>
      <c r="J33" s="62">
        <f>Scorecard!J33</f>
        <v/>
      </c>
      <c r="K33" s="62">
        <f>Scorecard!K33</f>
        <v/>
      </c>
      <c r="L33" s="62">
        <f>Scorecard!L33</f>
        <v/>
      </c>
    </row>
    <row r="34" ht="20" customHeight="1">
      <c r="B34" s="28" t="inlineStr">
        <is>
          <t>2.09</t>
        </is>
      </c>
      <c r="C34" s="29" t="inlineStr">
        <is>
          <t>Integration failure alerting and automated retry logic  ★</t>
        </is>
      </c>
      <c r="D34" s="63" t="inlineStr">
        <is>
          <t>2x</t>
        </is>
      </c>
      <c r="E34" s="50">
        <f>Scorecard!E34</f>
        <v/>
      </c>
      <c r="F34" s="50">
        <f>Scorecard!F34</f>
        <v/>
      </c>
      <c r="G34" s="50">
        <f>Scorecard!G34</f>
        <v/>
      </c>
      <c r="H34" s="50">
        <f>Scorecard!H34</f>
        <v/>
      </c>
      <c r="I34" s="50">
        <f>Scorecard!I34</f>
        <v/>
      </c>
      <c r="J34" s="50">
        <f>Scorecard!J34</f>
        <v/>
      </c>
      <c r="K34" s="50">
        <f>Scorecard!K34</f>
        <v/>
      </c>
      <c r="L34" s="50">
        <f>Scorecard!L34</f>
        <v/>
      </c>
    </row>
    <row r="35" ht="20" customHeight="1">
      <c r="B35" s="23" t="inlineStr">
        <is>
          <t>2.10</t>
        </is>
      </c>
      <c r="C35" s="33" t="inlineStr">
        <is>
          <t>Sandbox / non-production environment for testing integrations</t>
        </is>
      </c>
      <c r="D35" s="23" t="inlineStr">
        <is>
          <t>1x</t>
        </is>
      </c>
      <c r="E35" s="62">
        <f>Scorecard!E35</f>
        <v/>
      </c>
      <c r="F35" s="62">
        <f>Scorecard!F35</f>
        <v/>
      </c>
      <c r="G35" s="62">
        <f>Scorecard!G35</f>
        <v/>
      </c>
      <c r="H35" s="62">
        <f>Scorecard!H35</f>
        <v/>
      </c>
      <c r="I35" s="62">
        <f>Scorecard!I35</f>
        <v/>
      </c>
      <c r="J35" s="62">
        <f>Scorecard!J35</f>
        <v/>
      </c>
      <c r="K35" s="62">
        <f>Scorecard!K35</f>
        <v/>
      </c>
      <c r="L35" s="62">
        <f>Scorecard!L35</f>
        <v/>
      </c>
    </row>
    <row r="36" ht="5" customHeight="1">
      <c r="B36" s="35" t="n"/>
      <c r="C36" s="35" t="n"/>
      <c r="D36" s="35" t="n"/>
      <c r="E36" s="35" t="n"/>
      <c r="F36" s="35" t="n"/>
      <c r="G36" s="35" t="n"/>
      <c r="H36" s="35" t="n"/>
      <c r="I36" s="35" t="n"/>
      <c r="J36" s="35" t="n"/>
      <c r="K36" s="35" t="n"/>
      <c r="L36" s="35" t="n"/>
      <c r="M36" s="35" t="n"/>
    </row>
    <row r="37" ht="20" customHeight="1">
      <c r="B37" s="37" t="inlineStr">
        <is>
          <t>3. IMPLEMENTATION &amp; SUPPORT</t>
        </is>
      </c>
    </row>
    <row r="38" ht="20" customHeight="1">
      <c r="B38" s="28" t="inlineStr">
        <is>
          <t>3.01</t>
        </is>
      </c>
      <c r="C38" s="29" t="inlineStr">
        <is>
          <t>Dedicated implementation consultant assigned for programme duration  ★</t>
        </is>
      </c>
      <c r="D38" s="63" t="inlineStr">
        <is>
          <t>2x</t>
        </is>
      </c>
      <c r="E38" s="50">
        <f>Scorecard!E38</f>
        <v/>
      </c>
      <c r="F38" s="50">
        <f>Scorecard!F38</f>
        <v/>
      </c>
      <c r="G38" s="50">
        <f>Scorecard!G38</f>
        <v/>
      </c>
      <c r="H38" s="50">
        <f>Scorecard!H38</f>
        <v/>
      </c>
      <c r="I38" s="50">
        <f>Scorecard!I38</f>
        <v/>
      </c>
      <c r="J38" s="50">
        <f>Scorecard!J38</f>
        <v/>
      </c>
      <c r="K38" s="50">
        <f>Scorecard!K38</f>
        <v/>
      </c>
      <c r="L38" s="50">
        <f>Scorecard!L38</f>
        <v/>
      </c>
    </row>
    <row r="39" ht="20" customHeight="1">
      <c r="B39" s="23" t="inlineStr">
        <is>
          <t>3.02</t>
        </is>
      </c>
      <c r="C39" s="24" t="inlineStr">
        <is>
          <t>Structured methodology with defined phases and deliverables  ★</t>
        </is>
      </c>
      <c r="D39" s="61" t="inlineStr">
        <is>
          <t>2x</t>
        </is>
      </c>
      <c r="E39" s="62">
        <f>Scorecard!E39</f>
        <v/>
      </c>
      <c r="F39" s="62">
        <f>Scorecard!F39</f>
        <v/>
      </c>
      <c r="G39" s="62">
        <f>Scorecard!G39</f>
        <v/>
      </c>
      <c r="H39" s="62">
        <f>Scorecard!H39</f>
        <v/>
      </c>
      <c r="I39" s="62">
        <f>Scorecard!I39</f>
        <v/>
      </c>
      <c r="J39" s="62">
        <f>Scorecard!J39</f>
        <v/>
      </c>
      <c r="K39" s="62">
        <f>Scorecard!K39</f>
        <v/>
      </c>
      <c r="L39" s="62">
        <f>Scorecard!L39</f>
        <v/>
      </c>
    </row>
    <row r="40" ht="20" customHeight="1">
      <c r="B40" s="28" t="inlineStr">
        <is>
          <t>3.03</t>
        </is>
      </c>
      <c r="C40" s="29" t="inlineStr">
        <is>
          <t>Data migration support including historical data and mapping  ★</t>
        </is>
      </c>
      <c r="D40" s="63" t="inlineStr">
        <is>
          <t>2x</t>
        </is>
      </c>
      <c r="E40" s="50">
        <f>Scorecard!E40</f>
        <v/>
      </c>
      <c r="F40" s="50">
        <f>Scorecard!F40</f>
        <v/>
      </c>
      <c r="G40" s="50">
        <f>Scorecard!G40</f>
        <v/>
      </c>
      <c r="H40" s="50">
        <f>Scorecard!H40</f>
        <v/>
      </c>
      <c r="I40" s="50">
        <f>Scorecard!I40</f>
        <v/>
      </c>
      <c r="J40" s="50">
        <f>Scorecard!J40</f>
        <v/>
      </c>
      <c r="K40" s="50">
        <f>Scorecard!K40</f>
        <v/>
      </c>
      <c r="L40" s="50">
        <f>Scorecard!L40</f>
        <v/>
      </c>
    </row>
    <row r="41" ht="20" customHeight="1">
      <c r="B41" s="23" t="inlineStr">
        <is>
          <t>3.04</t>
        </is>
      </c>
      <c r="C41" s="24" t="inlineStr">
        <is>
          <t>Training materials in all required languages  ★</t>
        </is>
      </c>
      <c r="D41" s="61" t="inlineStr">
        <is>
          <t>2x</t>
        </is>
      </c>
      <c r="E41" s="62">
        <f>Scorecard!E41</f>
        <v/>
      </c>
      <c r="F41" s="62">
        <f>Scorecard!F41</f>
        <v/>
      </c>
      <c r="G41" s="62">
        <f>Scorecard!G41</f>
        <v/>
      </c>
      <c r="H41" s="62">
        <f>Scorecard!H41</f>
        <v/>
      </c>
      <c r="I41" s="62">
        <f>Scorecard!I41</f>
        <v/>
      </c>
      <c r="J41" s="62">
        <f>Scorecard!J41</f>
        <v/>
      </c>
      <c r="K41" s="62">
        <f>Scorecard!K41</f>
        <v/>
      </c>
      <c r="L41" s="62">
        <f>Scorecard!L41</f>
        <v/>
      </c>
    </row>
    <row r="42" ht="20" customHeight="1">
      <c r="B42" s="28" t="inlineStr">
        <is>
          <t>3.05</t>
        </is>
      </c>
      <c r="C42" s="34" t="inlineStr">
        <is>
          <t>Sandbox / UAT environment provided throughout implementation</t>
        </is>
      </c>
      <c r="D42" s="28" t="inlineStr">
        <is>
          <t>1x</t>
        </is>
      </c>
      <c r="E42" s="50">
        <f>Scorecard!E42</f>
        <v/>
      </c>
      <c r="F42" s="50">
        <f>Scorecard!F42</f>
        <v/>
      </c>
      <c r="G42" s="50">
        <f>Scorecard!G42</f>
        <v/>
      </c>
      <c r="H42" s="50">
        <f>Scorecard!H42</f>
        <v/>
      </c>
      <c r="I42" s="50">
        <f>Scorecard!I42</f>
        <v/>
      </c>
      <c r="J42" s="50">
        <f>Scorecard!J42</f>
        <v/>
      </c>
      <c r="K42" s="50">
        <f>Scorecard!K42</f>
        <v/>
      </c>
      <c r="L42" s="50">
        <f>Scorecard!L42</f>
        <v/>
      </c>
    </row>
    <row r="43" ht="20" customHeight="1">
      <c r="B43" s="23" t="inlineStr">
        <is>
          <t>3.06</t>
        </is>
      </c>
      <c r="C43" s="24" t="inlineStr">
        <is>
          <t>Post-go-live hypercare period (minimum 4 weeks defined in contract)  ★</t>
        </is>
      </c>
      <c r="D43" s="61" t="inlineStr">
        <is>
          <t>2x</t>
        </is>
      </c>
      <c r="E43" s="62">
        <f>Scorecard!E43</f>
        <v/>
      </c>
      <c r="F43" s="62">
        <f>Scorecard!F43</f>
        <v/>
      </c>
      <c r="G43" s="62">
        <f>Scorecard!G43</f>
        <v/>
      </c>
      <c r="H43" s="62">
        <f>Scorecard!H43</f>
        <v/>
      </c>
      <c r="I43" s="62">
        <f>Scorecard!I43</f>
        <v/>
      </c>
      <c r="J43" s="62">
        <f>Scorecard!J43</f>
        <v/>
      </c>
      <c r="K43" s="62">
        <f>Scorecard!K43</f>
        <v/>
      </c>
      <c r="L43" s="62">
        <f>Scorecard!L43</f>
        <v/>
      </c>
    </row>
    <row r="44" ht="20" customHeight="1">
      <c r="B44" s="28" t="inlineStr">
        <is>
          <t>3.07</t>
        </is>
      </c>
      <c r="C44" s="34" t="inlineStr">
        <is>
          <t>SLA for critical incident response — target &lt; 4 hours</t>
        </is>
      </c>
      <c r="D44" s="28" t="inlineStr">
        <is>
          <t>1x</t>
        </is>
      </c>
      <c r="E44" s="50">
        <f>Scorecard!E44</f>
        <v/>
      </c>
      <c r="F44" s="50">
        <f>Scorecard!F44</f>
        <v/>
      </c>
      <c r="G44" s="50">
        <f>Scorecard!G44</f>
        <v/>
      </c>
      <c r="H44" s="50">
        <f>Scorecard!H44</f>
        <v/>
      </c>
      <c r="I44" s="50">
        <f>Scorecard!I44</f>
        <v/>
      </c>
      <c r="J44" s="50">
        <f>Scorecard!J44</f>
        <v/>
      </c>
      <c r="K44" s="50">
        <f>Scorecard!K44</f>
        <v/>
      </c>
      <c r="L44" s="50">
        <f>Scorecard!L44</f>
        <v/>
      </c>
    </row>
    <row r="45" ht="20" customHeight="1">
      <c r="B45" s="23" t="inlineStr">
        <is>
          <t>3.08</t>
        </is>
      </c>
      <c r="C45" s="33" t="inlineStr">
        <is>
          <t>Dedicated customer success manager post-go-live</t>
        </is>
      </c>
      <c r="D45" s="23" t="inlineStr">
        <is>
          <t>1x</t>
        </is>
      </c>
      <c r="E45" s="62">
        <f>Scorecard!E45</f>
        <v/>
      </c>
      <c r="F45" s="62">
        <f>Scorecard!F45</f>
        <v/>
      </c>
      <c r="G45" s="62">
        <f>Scorecard!G45</f>
        <v/>
      </c>
      <c r="H45" s="62">
        <f>Scorecard!H45</f>
        <v/>
      </c>
      <c r="I45" s="62">
        <f>Scorecard!I45</f>
        <v/>
      </c>
      <c r="J45" s="62">
        <f>Scorecard!J45</f>
        <v/>
      </c>
      <c r="K45" s="62">
        <f>Scorecard!K45</f>
        <v/>
      </c>
      <c r="L45" s="62">
        <f>Scorecard!L45</f>
        <v/>
      </c>
    </row>
    <row r="46" ht="20" customHeight="1">
      <c r="B46" s="28" t="inlineStr">
        <is>
          <t>3.09</t>
        </is>
      </c>
      <c r="C46" s="34" t="inlineStr">
        <is>
          <t>Community / knowledge base for self-service support</t>
        </is>
      </c>
      <c r="D46" s="28" t="inlineStr">
        <is>
          <t>1x</t>
        </is>
      </c>
      <c r="E46" s="50">
        <f>Scorecard!E46</f>
        <v/>
      </c>
      <c r="F46" s="50">
        <f>Scorecard!F46</f>
        <v/>
      </c>
      <c r="G46" s="50">
        <f>Scorecard!G46</f>
        <v/>
      </c>
      <c r="H46" s="50">
        <f>Scorecard!H46</f>
        <v/>
      </c>
      <c r="I46" s="50">
        <f>Scorecard!I46</f>
        <v/>
      </c>
      <c r="J46" s="50">
        <f>Scorecard!J46</f>
        <v/>
      </c>
      <c r="K46" s="50">
        <f>Scorecard!K46</f>
        <v/>
      </c>
      <c r="L46" s="50">
        <f>Scorecard!L46</f>
        <v/>
      </c>
    </row>
    <row r="47" ht="20" customHeight="1">
      <c r="B47" s="23" t="inlineStr">
        <is>
          <t>3.10</t>
        </is>
      </c>
      <c r="C47" s="24" t="inlineStr">
        <is>
          <t>References from comparable pan-European programmes  ★</t>
        </is>
      </c>
      <c r="D47" s="61" t="inlineStr">
        <is>
          <t>2x</t>
        </is>
      </c>
      <c r="E47" s="62">
        <f>Scorecard!E47</f>
        <v/>
      </c>
      <c r="F47" s="62">
        <f>Scorecard!F47</f>
        <v/>
      </c>
      <c r="G47" s="62">
        <f>Scorecard!G47</f>
        <v/>
      </c>
      <c r="H47" s="62">
        <f>Scorecard!H47</f>
        <v/>
      </c>
      <c r="I47" s="62">
        <f>Scorecard!I47</f>
        <v/>
      </c>
      <c r="J47" s="62">
        <f>Scorecard!J47</f>
        <v/>
      </c>
      <c r="K47" s="62">
        <f>Scorecard!K47</f>
        <v/>
      </c>
      <c r="L47" s="62">
        <f>Scorecard!L47</f>
        <v/>
      </c>
    </row>
    <row r="48" ht="5" customHeight="1">
      <c r="B48" s="35" t="n"/>
      <c r="C48" s="35" t="n"/>
      <c r="D48" s="35" t="n"/>
      <c r="E48" s="35" t="n"/>
      <c r="F48" s="35" t="n"/>
      <c r="G48" s="35" t="n"/>
      <c r="H48" s="35" t="n"/>
      <c r="I48" s="35" t="n"/>
      <c r="J48" s="35" t="n"/>
      <c r="K48" s="35" t="n"/>
      <c r="L48" s="35" t="n"/>
      <c r="M48" s="35" t="n"/>
    </row>
    <row r="49" ht="20" customHeight="1">
      <c r="B49" s="38" t="inlineStr">
        <is>
          <t>4. COMMERCIAL TERMS</t>
        </is>
      </c>
    </row>
    <row r="50" ht="20" customHeight="1">
      <c r="B50" s="28" t="inlineStr">
        <is>
          <t>4.01</t>
        </is>
      </c>
      <c r="C50" s="29" t="inlineStr">
        <is>
          <t>Per-user pricing model — transparent and predictable  ★</t>
        </is>
      </c>
      <c r="D50" s="63" t="inlineStr">
        <is>
          <t>2x</t>
        </is>
      </c>
      <c r="E50" s="50">
        <f>Scorecard!E50</f>
        <v/>
      </c>
      <c r="F50" s="50">
        <f>Scorecard!F50</f>
        <v/>
      </c>
      <c r="G50" s="50">
        <f>Scorecard!G50</f>
        <v/>
      </c>
      <c r="H50" s="50">
        <f>Scorecard!H50</f>
        <v/>
      </c>
      <c r="I50" s="50">
        <f>Scorecard!I50</f>
        <v/>
      </c>
      <c r="J50" s="50">
        <f>Scorecard!J50</f>
        <v/>
      </c>
      <c r="K50" s="50">
        <f>Scorecard!K50</f>
        <v/>
      </c>
      <c r="L50" s="50">
        <f>Scorecard!L50</f>
        <v/>
      </c>
    </row>
    <row r="51" ht="20" customHeight="1">
      <c r="B51" s="23" t="inlineStr">
        <is>
          <t>4.02</t>
        </is>
      </c>
      <c r="C51" s="24" t="inlineStr">
        <is>
          <t>Contract allows entity / country additions without renegotiation  ★</t>
        </is>
      </c>
      <c r="D51" s="61" t="inlineStr">
        <is>
          <t>2x</t>
        </is>
      </c>
      <c r="E51" s="62">
        <f>Scorecard!E51</f>
        <v/>
      </c>
      <c r="F51" s="62">
        <f>Scorecard!F51</f>
        <v/>
      </c>
      <c r="G51" s="62">
        <f>Scorecard!G51</f>
        <v/>
      </c>
      <c r="H51" s="62">
        <f>Scorecard!H51</f>
        <v/>
      </c>
      <c r="I51" s="62">
        <f>Scorecard!I51</f>
        <v/>
      </c>
      <c r="J51" s="62">
        <f>Scorecard!J51</f>
        <v/>
      </c>
      <c r="K51" s="62">
        <f>Scorecard!K51</f>
        <v/>
      </c>
      <c r="L51" s="62">
        <f>Scorecard!L51</f>
        <v/>
      </c>
    </row>
    <row r="52" ht="20" customHeight="1">
      <c r="B52" s="28" t="inlineStr">
        <is>
          <t>4.03</t>
        </is>
      </c>
      <c r="C52" s="29" t="inlineStr">
        <is>
          <t>Exit clause — data export and transition support included  ★</t>
        </is>
      </c>
      <c r="D52" s="63" t="inlineStr">
        <is>
          <t>2x</t>
        </is>
      </c>
      <c r="E52" s="50">
        <f>Scorecard!E52</f>
        <v/>
      </c>
      <c r="F52" s="50">
        <f>Scorecard!F52</f>
        <v/>
      </c>
      <c r="G52" s="50">
        <f>Scorecard!G52</f>
        <v/>
      </c>
      <c r="H52" s="50">
        <f>Scorecard!H52</f>
        <v/>
      </c>
      <c r="I52" s="50">
        <f>Scorecard!I52</f>
        <v/>
      </c>
      <c r="J52" s="50">
        <f>Scorecard!J52</f>
        <v/>
      </c>
      <c r="K52" s="50">
        <f>Scorecard!K52</f>
        <v/>
      </c>
      <c r="L52" s="50">
        <f>Scorecard!L52</f>
        <v/>
      </c>
    </row>
    <row r="53" ht="20" customHeight="1">
      <c r="B53" s="23" t="inlineStr">
        <is>
          <t>4.04</t>
        </is>
      </c>
      <c r="C53" s="24" t="inlineStr">
        <is>
          <t>No hidden implementation or setup fees beyond quoted price  ★</t>
        </is>
      </c>
      <c r="D53" s="61" t="inlineStr">
        <is>
          <t>2x</t>
        </is>
      </c>
      <c r="E53" s="62">
        <f>Scorecard!E53</f>
        <v/>
      </c>
      <c r="F53" s="62">
        <f>Scorecard!F53</f>
        <v/>
      </c>
      <c r="G53" s="62">
        <f>Scorecard!G53</f>
        <v/>
      </c>
      <c r="H53" s="62">
        <f>Scorecard!H53</f>
        <v/>
      </c>
      <c r="I53" s="62">
        <f>Scorecard!I53</f>
        <v/>
      </c>
      <c r="J53" s="62">
        <f>Scorecard!J53</f>
        <v/>
      </c>
      <c r="K53" s="62">
        <f>Scorecard!K53</f>
        <v/>
      </c>
      <c r="L53" s="62">
        <f>Scorecard!L53</f>
        <v/>
      </c>
    </row>
    <row r="54" ht="20" customHeight="1">
      <c r="B54" s="28" t="inlineStr">
        <is>
          <t>4.05</t>
        </is>
      </c>
      <c r="C54" s="34" t="inlineStr">
        <is>
          <t>Multi-year discount and pricing lock available</t>
        </is>
      </c>
      <c r="D54" s="28" t="inlineStr">
        <is>
          <t>1x</t>
        </is>
      </c>
      <c r="E54" s="50">
        <f>Scorecard!E54</f>
        <v/>
      </c>
      <c r="F54" s="50">
        <f>Scorecard!F54</f>
        <v/>
      </c>
      <c r="G54" s="50">
        <f>Scorecard!G54</f>
        <v/>
      </c>
      <c r="H54" s="50">
        <f>Scorecard!H54</f>
        <v/>
      </c>
      <c r="I54" s="50">
        <f>Scorecard!I54</f>
        <v/>
      </c>
      <c r="J54" s="50">
        <f>Scorecard!J54</f>
        <v/>
      </c>
      <c r="K54" s="50">
        <f>Scorecard!K54</f>
        <v/>
      </c>
      <c r="L54" s="50">
        <f>Scorecard!L54</f>
        <v/>
      </c>
    </row>
    <row r="55" ht="20" customHeight="1">
      <c r="B55" s="23" t="inlineStr">
        <is>
          <t>4.06</t>
        </is>
      </c>
      <c r="C55" s="33" t="inlineStr">
        <is>
          <t>Vendor financial stability — established &gt; 5 years</t>
        </is>
      </c>
      <c r="D55" s="23" t="inlineStr">
        <is>
          <t>1x</t>
        </is>
      </c>
      <c r="E55" s="62">
        <f>Scorecard!E55</f>
        <v/>
      </c>
      <c r="F55" s="62">
        <f>Scorecard!F55</f>
        <v/>
      </c>
      <c r="G55" s="62">
        <f>Scorecard!G55</f>
        <v/>
      </c>
      <c r="H55" s="62">
        <f>Scorecard!H55</f>
        <v/>
      </c>
      <c r="I55" s="62">
        <f>Scorecard!I55</f>
        <v/>
      </c>
      <c r="J55" s="62">
        <f>Scorecard!J55</f>
        <v/>
      </c>
      <c r="K55" s="62">
        <f>Scorecard!K55</f>
        <v/>
      </c>
      <c r="L55" s="62">
        <f>Scorecard!L55</f>
        <v/>
      </c>
    </row>
    <row r="56" ht="20" customHeight="1">
      <c r="B56" s="28" t="inlineStr">
        <is>
          <t>4.07</t>
        </is>
      </c>
      <c r="C56" s="34" t="inlineStr">
        <is>
          <t>Named account manager with defined response commitments</t>
        </is>
      </c>
      <c r="D56" s="28" t="inlineStr">
        <is>
          <t>1x</t>
        </is>
      </c>
      <c r="E56" s="50">
        <f>Scorecard!E56</f>
        <v/>
      </c>
      <c r="F56" s="50">
        <f>Scorecard!F56</f>
        <v/>
      </c>
      <c r="G56" s="50">
        <f>Scorecard!G56</f>
        <v/>
      </c>
      <c r="H56" s="50">
        <f>Scorecard!H56</f>
        <v/>
      </c>
      <c r="I56" s="50">
        <f>Scorecard!I56</f>
        <v/>
      </c>
      <c r="J56" s="50">
        <f>Scorecard!J56</f>
        <v/>
      </c>
      <c r="K56" s="50">
        <f>Scorecard!K56</f>
        <v/>
      </c>
      <c r="L56" s="50">
        <f>Scorecard!L56</f>
        <v/>
      </c>
    </row>
    <row r="57" ht="20" customHeight="1">
      <c r="B57" s="23" t="inlineStr">
        <is>
          <t>4.08</t>
        </is>
      </c>
      <c r="C57" s="33" t="inlineStr">
        <is>
          <t>Pilot / proof-of-concept pricing available pre-contract</t>
        </is>
      </c>
      <c r="D57" s="23" t="inlineStr">
        <is>
          <t>1x</t>
        </is>
      </c>
      <c r="E57" s="62">
        <f>Scorecard!E57</f>
        <v/>
      </c>
      <c r="F57" s="62">
        <f>Scorecard!F57</f>
        <v/>
      </c>
      <c r="G57" s="62">
        <f>Scorecard!G57</f>
        <v/>
      </c>
      <c r="H57" s="62">
        <f>Scorecard!H57</f>
        <v/>
      </c>
      <c r="I57" s="62">
        <f>Scorecard!I57</f>
        <v/>
      </c>
      <c r="J57" s="62">
        <f>Scorecard!J57</f>
        <v/>
      </c>
      <c r="K57" s="62">
        <f>Scorecard!K57</f>
        <v/>
      </c>
      <c r="L57" s="62">
        <f>Scorecard!L57</f>
        <v/>
      </c>
    </row>
    <row r="58" ht="20" customHeight="1">
      <c r="B58" s="28" t="inlineStr">
        <is>
          <t>4.09</t>
        </is>
      </c>
      <c r="C58" s="29" t="inlineStr">
        <is>
          <t>Penalty / SLA credit clause for go-live delay caused by vendor  ★</t>
        </is>
      </c>
      <c r="D58" s="63" t="inlineStr">
        <is>
          <t>2x</t>
        </is>
      </c>
      <c r="E58" s="50">
        <f>Scorecard!E58</f>
        <v/>
      </c>
      <c r="F58" s="50">
        <f>Scorecard!F58</f>
        <v/>
      </c>
      <c r="G58" s="50">
        <f>Scorecard!G58</f>
        <v/>
      </c>
      <c r="H58" s="50">
        <f>Scorecard!H58</f>
        <v/>
      </c>
      <c r="I58" s="50">
        <f>Scorecard!I58</f>
        <v/>
      </c>
      <c r="J58" s="50">
        <f>Scorecard!J58</f>
        <v/>
      </c>
      <c r="K58" s="50">
        <f>Scorecard!K58</f>
        <v/>
      </c>
      <c r="L58" s="50">
        <f>Scorecard!L58</f>
        <v/>
      </c>
    </row>
    <row r="59" ht="20" customHeight="1">
      <c r="B59" s="23" t="inlineStr">
        <is>
          <t>4.10</t>
        </is>
      </c>
      <c r="C59" s="33" t="inlineStr">
        <is>
          <t>Audit rights — right to inspect data processing practices</t>
        </is>
      </c>
      <c r="D59" s="23" t="inlineStr">
        <is>
          <t>1x</t>
        </is>
      </c>
      <c r="E59" s="62">
        <f>Scorecard!E59</f>
        <v/>
      </c>
      <c r="F59" s="62">
        <f>Scorecard!F59</f>
        <v/>
      </c>
      <c r="G59" s="62">
        <f>Scorecard!G59</f>
        <v/>
      </c>
      <c r="H59" s="62">
        <f>Scorecard!H59</f>
        <v/>
      </c>
      <c r="I59" s="62">
        <f>Scorecard!I59</f>
        <v/>
      </c>
      <c r="J59" s="62">
        <f>Scorecard!J59</f>
        <v/>
      </c>
      <c r="K59" s="62">
        <f>Scorecard!K59</f>
        <v/>
      </c>
      <c r="L59" s="62">
        <f>Scorecard!L59</f>
        <v/>
      </c>
    </row>
    <row r="60" ht="5" customHeight="1">
      <c r="B60" s="35" t="n"/>
      <c r="C60" s="35" t="n"/>
      <c r="D60" s="35" t="n"/>
      <c r="E60" s="35" t="n"/>
      <c r="F60" s="35" t="n"/>
      <c r="G60" s="35" t="n"/>
      <c r="H60" s="35" t="n"/>
      <c r="I60" s="35" t="n"/>
      <c r="J60" s="35" t="n"/>
      <c r="K60" s="35" t="n"/>
      <c r="L60" s="35" t="n"/>
      <c r="M60" s="35" t="n"/>
    </row>
    <row r="61" ht="20" customHeight="1">
      <c r="B61" s="39" t="inlineStr">
        <is>
          <t>5. EUROPEAN COMPLIANCE</t>
        </is>
      </c>
    </row>
    <row r="62" ht="20" customHeight="1">
      <c r="B62" s="28" t="inlineStr">
        <is>
          <t>5.01</t>
        </is>
      </c>
      <c r="C62" s="29" t="inlineStr">
        <is>
          <t>GDPR compliance — data processed within EU / EEA by default  ★</t>
        </is>
      </c>
      <c r="D62" s="63" t="inlineStr">
        <is>
          <t>2x</t>
        </is>
      </c>
      <c r="E62" s="50">
        <f>Scorecard!E62</f>
        <v/>
      </c>
      <c r="F62" s="50">
        <f>Scorecard!F62</f>
        <v/>
      </c>
      <c r="G62" s="50">
        <f>Scorecard!G62</f>
        <v/>
      </c>
      <c r="H62" s="50">
        <f>Scorecard!H62</f>
        <v/>
      </c>
      <c r="I62" s="50">
        <f>Scorecard!I62</f>
        <v/>
      </c>
      <c r="J62" s="50">
        <f>Scorecard!J62</f>
        <v/>
      </c>
      <c r="K62" s="50">
        <f>Scorecard!K62</f>
        <v/>
      </c>
      <c r="L62" s="50">
        <f>Scorecard!L62</f>
        <v/>
      </c>
    </row>
    <row r="63" ht="20" customHeight="1">
      <c r="B63" s="23" t="inlineStr">
        <is>
          <t>5.02</t>
        </is>
      </c>
      <c r="C63" s="24" t="inlineStr">
        <is>
          <t>German receipt requirements (GoBD — digital archiving standards)  ★</t>
        </is>
      </c>
      <c r="D63" s="61" t="inlineStr">
        <is>
          <t>2x</t>
        </is>
      </c>
      <c r="E63" s="62">
        <f>Scorecard!E63</f>
        <v/>
      </c>
      <c r="F63" s="62">
        <f>Scorecard!F63</f>
        <v/>
      </c>
      <c r="G63" s="62">
        <f>Scorecard!G63</f>
        <v/>
      </c>
      <c r="H63" s="62">
        <f>Scorecard!H63</f>
        <v/>
      </c>
      <c r="I63" s="62">
        <f>Scorecard!I63</f>
        <v/>
      </c>
      <c r="J63" s="62">
        <f>Scorecard!J63</f>
        <v/>
      </c>
      <c r="K63" s="62">
        <f>Scorecard!K63</f>
        <v/>
      </c>
      <c r="L63" s="62">
        <f>Scorecard!L63</f>
        <v/>
      </c>
    </row>
    <row r="64" ht="20" customHeight="1">
      <c r="B64" s="28" t="inlineStr">
        <is>
          <t>5.03</t>
        </is>
      </c>
      <c r="C64" s="29" t="inlineStr">
        <is>
          <t>French per diem rules (URSSAF rates, domestic vs international)  ★</t>
        </is>
      </c>
      <c r="D64" s="63" t="inlineStr">
        <is>
          <t>2x</t>
        </is>
      </c>
      <c r="E64" s="50">
        <f>Scorecard!E64</f>
        <v/>
      </c>
      <c r="F64" s="50">
        <f>Scorecard!F64</f>
        <v/>
      </c>
      <c r="G64" s="50">
        <f>Scorecard!G64</f>
        <v/>
      </c>
      <c r="H64" s="50">
        <f>Scorecard!H64</f>
        <v/>
      </c>
      <c r="I64" s="50">
        <f>Scorecard!I64</f>
        <v/>
      </c>
      <c r="J64" s="50">
        <f>Scorecard!J64</f>
        <v/>
      </c>
      <c r="K64" s="50">
        <f>Scorecard!K64</f>
        <v/>
      </c>
      <c r="L64" s="50">
        <f>Scorecard!L64</f>
        <v/>
      </c>
    </row>
    <row r="65" ht="20" customHeight="1">
      <c r="B65" s="23" t="inlineStr">
        <is>
          <t>5.04</t>
        </is>
      </c>
      <c r="C65" s="24" t="inlineStr">
        <is>
          <t>Spanish IVA / VAT classification and deductibility  ★</t>
        </is>
      </c>
      <c r="D65" s="61" t="inlineStr">
        <is>
          <t>2x</t>
        </is>
      </c>
      <c r="E65" s="62">
        <f>Scorecard!E65</f>
        <v/>
      </c>
      <c r="F65" s="62">
        <f>Scorecard!F65</f>
        <v/>
      </c>
      <c r="G65" s="62">
        <f>Scorecard!G65</f>
        <v/>
      </c>
      <c r="H65" s="62">
        <f>Scorecard!H65</f>
        <v/>
      </c>
      <c r="I65" s="62">
        <f>Scorecard!I65</f>
        <v/>
      </c>
      <c r="J65" s="62">
        <f>Scorecard!J65</f>
        <v/>
      </c>
      <c r="K65" s="62">
        <f>Scorecard!K65</f>
        <v/>
      </c>
      <c r="L65" s="62">
        <f>Scorecard!L65</f>
        <v/>
      </c>
    </row>
    <row r="66" ht="20" customHeight="1">
      <c r="B66" s="28" t="inlineStr">
        <is>
          <t>5.05</t>
        </is>
      </c>
      <c r="C66" s="34" t="inlineStr">
        <is>
          <t>Dutch representation expense and 80% rule</t>
        </is>
      </c>
      <c r="D66" s="28" t="inlineStr">
        <is>
          <t>1x</t>
        </is>
      </c>
      <c r="E66" s="50">
        <f>Scorecard!E66</f>
        <v/>
      </c>
      <c r="F66" s="50">
        <f>Scorecard!F66</f>
        <v/>
      </c>
      <c r="G66" s="50">
        <f>Scorecard!G66</f>
        <v/>
      </c>
      <c r="H66" s="50">
        <f>Scorecard!H66</f>
        <v/>
      </c>
      <c r="I66" s="50">
        <f>Scorecard!I66</f>
        <v/>
      </c>
      <c r="J66" s="50">
        <f>Scorecard!J66</f>
        <v/>
      </c>
      <c r="K66" s="50">
        <f>Scorecard!K66</f>
        <v/>
      </c>
      <c r="L66" s="50">
        <f>Scorecard!L66</f>
        <v/>
      </c>
    </row>
    <row r="67" ht="20" customHeight="1">
      <c r="B67" s="23" t="inlineStr">
        <is>
          <t>5.06</t>
        </is>
      </c>
      <c r="C67" s="33" t="inlineStr">
        <is>
          <t>Works council / CSE information requirement support (France)</t>
        </is>
      </c>
      <c r="D67" s="23" t="inlineStr">
        <is>
          <t>1x</t>
        </is>
      </c>
      <c r="E67" s="62">
        <f>Scorecard!E67</f>
        <v/>
      </c>
      <c r="F67" s="62">
        <f>Scorecard!F67</f>
        <v/>
      </c>
      <c r="G67" s="62">
        <f>Scorecard!G67</f>
        <v/>
      </c>
      <c r="H67" s="62">
        <f>Scorecard!H67</f>
        <v/>
      </c>
      <c r="I67" s="62">
        <f>Scorecard!I67</f>
        <v/>
      </c>
      <c r="J67" s="62">
        <f>Scorecard!J67</f>
        <v/>
      </c>
      <c r="K67" s="62">
        <f>Scorecard!K67</f>
        <v/>
      </c>
      <c r="L67" s="62">
        <f>Scorecard!L67</f>
        <v/>
      </c>
    </row>
    <row r="68" ht="20" customHeight="1">
      <c r="B68" s="28" t="inlineStr">
        <is>
          <t>5.07</t>
        </is>
      </c>
      <c r="C68" s="29" t="inlineStr">
        <is>
          <t>Country-specific audit trail and archiving (10-year retention)  ★</t>
        </is>
      </c>
      <c r="D68" s="63" t="inlineStr">
        <is>
          <t>2x</t>
        </is>
      </c>
      <c r="E68" s="50">
        <f>Scorecard!E68</f>
        <v/>
      </c>
      <c r="F68" s="50">
        <f>Scorecard!F68</f>
        <v/>
      </c>
      <c r="G68" s="50">
        <f>Scorecard!G68</f>
        <v/>
      </c>
      <c r="H68" s="50">
        <f>Scorecard!H68</f>
        <v/>
      </c>
      <c r="I68" s="50">
        <f>Scorecard!I68</f>
        <v/>
      </c>
      <c r="J68" s="50">
        <f>Scorecard!J68</f>
        <v/>
      </c>
      <c r="K68" s="50">
        <f>Scorecard!K68</f>
        <v/>
      </c>
      <c r="L68" s="50">
        <f>Scorecard!L68</f>
        <v/>
      </c>
    </row>
    <row r="69" ht="20" customHeight="1">
      <c r="B69" s="23" t="inlineStr">
        <is>
          <t>5.08</t>
        </is>
      </c>
      <c r="C69" s="33" t="inlineStr">
        <is>
          <t>EU VAT reclaim support for cross-border business travel</t>
        </is>
      </c>
      <c r="D69" s="23" t="inlineStr">
        <is>
          <t>1x</t>
        </is>
      </c>
      <c r="E69" s="62">
        <f>Scorecard!E69</f>
        <v/>
      </c>
      <c r="F69" s="62">
        <f>Scorecard!F69</f>
        <v/>
      </c>
      <c r="G69" s="62">
        <f>Scorecard!G69</f>
        <v/>
      </c>
      <c r="H69" s="62">
        <f>Scorecard!H69</f>
        <v/>
      </c>
      <c r="I69" s="62">
        <f>Scorecard!I69</f>
        <v/>
      </c>
      <c r="J69" s="62">
        <f>Scorecard!J69</f>
        <v/>
      </c>
      <c r="K69" s="62">
        <f>Scorecard!K69</f>
        <v/>
      </c>
      <c r="L69" s="62">
        <f>Scorecard!L69</f>
        <v/>
      </c>
    </row>
    <row r="70" ht="20" customHeight="1">
      <c r="B70" s="28" t="inlineStr">
        <is>
          <t>5.09</t>
        </is>
      </c>
      <c r="C70" s="34" t="inlineStr">
        <is>
          <t>Italian SDI / e-invoicing compliance</t>
        </is>
      </c>
      <c r="D70" s="28" t="inlineStr">
        <is>
          <t>1x</t>
        </is>
      </c>
      <c r="E70" s="50">
        <f>Scorecard!E70</f>
        <v/>
      </c>
      <c r="F70" s="50">
        <f>Scorecard!F70</f>
        <v/>
      </c>
      <c r="G70" s="50">
        <f>Scorecard!G70</f>
        <v/>
      </c>
      <c r="H70" s="50">
        <f>Scorecard!H70</f>
        <v/>
      </c>
      <c r="I70" s="50">
        <f>Scorecard!I70</f>
        <v/>
      </c>
      <c r="J70" s="50">
        <f>Scorecard!J70</f>
        <v/>
      </c>
      <c r="K70" s="50">
        <f>Scorecard!K70</f>
        <v/>
      </c>
      <c r="L70" s="50">
        <f>Scorecard!L70</f>
        <v/>
      </c>
    </row>
    <row r="71" ht="20" customHeight="1">
      <c r="B71" s="23" t="inlineStr">
        <is>
          <t>5.10</t>
        </is>
      </c>
      <c r="C71" s="33" t="inlineStr">
        <is>
          <t>Belgian and Scandinavian market localisation</t>
        </is>
      </c>
      <c r="D71" s="23" t="inlineStr">
        <is>
          <t>1x</t>
        </is>
      </c>
      <c r="E71" s="62">
        <f>Scorecard!E71</f>
        <v/>
      </c>
      <c r="F71" s="62">
        <f>Scorecard!F71</f>
        <v/>
      </c>
      <c r="G71" s="62">
        <f>Scorecard!G71</f>
        <v/>
      </c>
      <c r="H71" s="62">
        <f>Scorecard!H71</f>
        <v/>
      </c>
      <c r="I71" s="62">
        <f>Scorecard!I71</f>
        <v/>
      </c>
      <c r="J71" s="62">
        <f>Scorecard!J71</f>
        <v/>
      </c>
      <c r="K71" s="62">
        <f>Scorecard!K71</f>
        <v/>
      </c>
      <c r="L71" s="62">
        <f>Scorecard!L71</f>
        <v/>
      </c>
    </row>
    <row r="72" ht="20" customHeight="1">
      <c r="B72" s="28" t="inlineStr">
        <is>
          <t>5.11</t>
        </is>
      </c>
      <c r="C72" s="29" t="inlineStr">
        <is>
          <t>Data residency options by country (for DE, FR data sovereignty)  ★</t>
        </is>
      </c>
      <c r="D72" s="63" t="inlineStr">
        <is>
          <t>2x</t>
        </is>
      </c>
      <c r="E72" s="50">
        <f>Scorecard!E72</f>
        <v/>
      </c>
      <c r="F72" s="50">
        <f>Scorecard!F72</f>
        <v/>
      </c>
      <c r="G72" s="50">
        <f>Scorecard!G72</f>
        <v/>
      </c>
      <c r="H72" s="50">
        <f>Scorecard!H72</f>
        <v/>
      </c>
      <c r="I72" s="50">
        <f>Scorecard!I72</f>
        <v/>
      </c>
      <c r="J72" s="50">
        <f>Scorecard!J72</f>
        <v/>
      </c>
      <c r="K72" s="50">
        <f>Scorecard!K72</f>
        <v/>
      </c>
      <c r="L72" s="50">
        <f>Scorecard!L72</f>
        <v/>
      </c>
    </row>
    <row r="73" ht="20" customHeight="1">
      <c r="B73" s="23" t="inlineStr">
        <is>
          <t>5.12</t>
        </is>
      </c>
      <c r="C73" s="33" t="inlineStr">
        <is>
          <t>DPIA / data processing agreement standard terms available</t>
        </is>
      </c>
      <c r="D73" s="23" t="inlineStr">
        <is>
          <t>1x</t>
        </is>
      </c>
      <c r="E73" s="62">
        <f>Scorecard!E73</f>
        <v/>
      </c>
      <c r="F73" s="62">
        <f>Scorecard!F73</f>
        <v/>
      </c>
      <c r="G73" s="62">
        <f>Scorecard!G73</f>
        <v/>
      </c>
      <c r="H73" s="62">
        <f>Scorecard!H73</f>
        <v/>
      </c>
      <c r="I73" s="62">
        <f>Scorecard!I73</f>
        <v/>
      </c>
      <c r="J73" s="62">
        <f>Scorecard!J73</f>
        <v/>
      </c>
      <c r="K73" s="62">
        <f>Scorecard!K73</f>
        <v/>
      </c>
      <c r="L73" s="62">
        <f>Scorecard!L73</f>
        <v/>
      </c>
    </row>
    <row r="74" ht="5" customHeight="1">
      <c r="B74" s="35" t="n"/>
      <c r="C74" s="35" t="n"/>
      <c r="D74" s="35" t="n"/>
      <c r="E74" s="35" t="n"/>
      <c r="F74" s="35" t="n"/>
      <c r="G74" s="35" t="n"/>
      <c r="H74" s="35" t="n"/>
      <c r="I74" s="35" t="n"/>
      <c r="J74" s="35" t="n"/>
      <c r="K74" s="35" t="n"/>
      <c r="L74" s="35" t="n"/>
      <c r="M74" s="35" t="n"/>
    </row>
    <row r="75" ht="20" customHeight="1">
      <c r="B75" s="40" t="inlineStr">
        <is>
          <t>6. VENDOR VIABILITY &amp; STRATEGIC FIT</t>
        </is>
      </c>
    </row>
    <row r="76" ht="20" customHeight="1">
      <c r="B76" s="28" t="inlineStr">
        <is>
          <t>6.01</t>
        </is>
      </c>
      <c r="C76" s="29" t="inlineStr">
        <is>
          <t>Product roadmap aligns with your organisation's 3-year technology strategy  ★</t>
        </is>
      </c>
      <c r="D76" s="63" t="inlineStr">
        <is>
          <t>2x</t>
        </is>
      </c>
      <c r="E76" s="50">
        <f>Scorecard!E76</f>
        <v/>
      </c>
      <c r="F76" s="50">
        <f>Scorecard!F76</f>
        <v/>
      </c>
      <c r="G76" s="50">
        <f>Scorecard!G76</f>
        <v/>
      </c>
      <c r="H76" s="50">
        <f>Scorecard!H76</f>
        <v/>
      </c>
      <c r="I76" s="50">
        <f>Scorecard!I76</f>
        <v/>
      </c>
      <c r="J76" s="50">
        <f>Scorecard!J76</f>
        <v/>
      </c>
      <c r="K76" s="50">
        <f>Scorecard!K76</f>
        <v/>
      </c>
      <c r="L76" s="50">
        <f>Scorecard!L76</f>
        <v/>
      </c>
    </row>
    <row r="77" ht="20" customHeight="1">
      <c r="B77" s="23" t="inlineStr">
        <is>
          <t>6.02</t>
        </is>
      </c>
      <c r="C77" s="24" t="inlineStr">
        <is>
          <t>Active investment in AI / automation features on the roadmap  ★</t>
        </is>
      </c>
      <c r="D77" s="61" t="inlineStr">
        <is>
          <t>2x</t>
        </is>
      </c>
      <c r="E77" s="62">
        <f>Scorecard!E77</f>
        <v/>
      </c>
      <c r="F77" s="62">
        <f>Scorecard!F77</f>
        <v/>
      </c>
      <c r="G77" s="62">
        <f>Scorecard!G77</f>
        <v/>
      </c>
      <c r="H77" s="62">
        <f>Scorecard!H77</f>
        <v/>
      </c>
      <c r="I77" s="62">
        <f>Scorecard!I77</f>
        <v/>
      </c>
      <c r="J77" s="62">
        <f>Scorecard!J77</f>
        <v/>
      </c>
      <c r="K77" s="62">
        <f>Scorecard!K77</f>
        <v/>
      </c>
      <c r="L77" s="62">
        <f>Scorecard!L77</f>
        <v/>
      </c>
    </row>
    <row r="78" ht="20" customHeight="1">
      <c r="B78" s="28" t="inlineStr">
        <is>
          <t>6.03</t>
        </is>
      </c>
      <c r="C78" s="29" t="inlineStr">
        <is>
          <t>Market presence and customer base in your target European countries  ★</t>
        </is>
      </c>
      <c r="D78" s="63" t="inlineStr">
        <is>
          <t>2x</t>
        </is>
      </c>
      <c r="E78" s="50">
        <f>Scorecard!E78</f>
        <v/>
      </c>
      <c r="F78" s="50">
        <f>Scorecard!F78</f>
        <v/>
      </c>
      <c r="G78" s="50">
        <f>Scorecard!G78</f>
        <v/>
      </c>
      <c r="H78" s="50">
        <f>Scorecard!H78</f>
        <v/>
      </c>
      <c r="I78" s="50">
        <f>Scorecard!I78</f>
        <v/>
      </c>
      <c r="J78" s="50">
        <f>Scorecard!J78</f>
        <v/>
      </c>
      <c r="K78" s="50">
        <f>Scorecard!K78</f>
        <v/>
      </c>
      <c r="L78" s="50">
        <f>Scorecard!L78</f>
        <v/>
      </c>
    </row>
    <row r="79" ht="20" customHeight="1">
      <c r="B79" s="23" t="inlineStr">
        <is>
          <t>6.04</t>
        </is>
      </c>
      <c r="C79" s="33" t="inlineStr">
        <is>
          <t>Analyst recognition (Gartner, Forrester, IDC coverage)</t>
        </is>
      </c>
      <c r="D79" s="23" t="inlineStr">
        <is>
          <t>1x</t>
        </is>
      </c>
      <c r="E79" s="62">
        <f>Scorecard!E79</f>
        <v/>
      </c>
      <c r="F79" s="62">
        <f>Scorecard!F79</f>
        <v/>
      </c>
      <c r="G79" s="62">
        <f>Scorecard!G79</f>
        <v/>
      </c>
      <c r="H79" s="62">
        <f>Scorecard!H79</f>
        <v/>
      </c>
      <c r="I79" s="62">
        <f>Scorecard!I79</f>
        <v/>
      </c>
      <c r="J79" s="62">
        <f>Scorecard!J79</f>
        <v/>
      </c>
      <c r="K79" s="62">
        <f>Scorecard!K79</f>
        <v/>
      </c>
      <c r="L79" s="62">
        <f>Scorecard!L79</f>
        <v/>
      </c>
    </row>
    <row r="80" ht="20" customHeight="1">
      <c r="B80" s="28" t="inlineStr">
        <is>
          <t>6.05</t>
        </is>
      </c>
      <c r="C80" s="34" t="inlineStr">
        <is>
          <t>Customer satisfaction scores / NPS publicly available or referenceable</t>
        </is>
      </c>
      <c r="D80" s="28" t="inlineStr">
        <is>
          <t>1x</t>
        </is>
      </c>
      <c r="E80" s="50">
        <f>Scorecard!E80</f>
        <v/>
      </c>
      <c r="F80" s="50">
        <f>Scorecard!F80</f>
        <v/>
      </c>
      <c r="G80" s="50">
        <f>Scorecard!G80</f>
        <v/>
      </c>
      <c r="H80" s="50">
        <f>Scorecard!H80</f>
        <v/>
      </c>
      <c r="I80" s="50">
        <f>Scorecard!I80</f>
        <v/>
      </c>
      <c r="J80" s="50">
        <f>Scorecard!J80</f>
        <v/>
      </c>
      <c r="K80" s="50">
        <f>Scorecard!K80</f>
        <v/>
      </c>
      <c r="L80" s="50">
        <f>Scorecard!L80</f>
        <v/>
      </c>
    </row>
    <row r="81" ht="20" customHeight="1">
      <c r="B81" s="23" t="inlineStr">
        <is>
          <t>6.06</t>
        </is>
      </c>
      <c r="C81" s="24" t="inlineStr">
        <is>
          <t>Acquisition / ownership stability — no pending M&amp;A risk  ★</t>
        </is>
      </c>
      <c r="D81" s="61" t="inlineStr">
        <is>
          <t>2x</t>
        </is>
      </c>
      <c r="E81" s="62">
        <f>Scorecard!E81</f>
        <v/>
      </c>
      <c r="F81" s="62">
        <f>Scorecard!F81</f>
        <v/>
      </c>
      <c r="G81" s="62">
        <f>Scorecard!G81</f>
        <v/>
      </c>
      <c r="H81" s="62">
        <f>Scorecard!H81</f>
        <v/>
      </c>
      <c r="I81" s="62">
        <f>Scorecard!I81</f>
        <v/>
      </c>
      <c r="J81" s="62">
        <f>Scorecard!J81</f>
        <v/>
      </c>
      <c r="K81" s="62">
        <f>Scorecard!K81</f>
        <v/>
      </c>
      <c r="L81" s="62">
        <f>Scorecard!L81</f>
        <v/>
      </c>
    </row>
    <row r="82" ht="20" customHeight="1">
      <c r="B82" s="28" t="inlineStr">
        <is>
          <t>6.07</t>
        </is>
      </c>
      <c r="C82" s="34" t="inlineStr">
        <is>
          <t>Demonstrated experience in your industry vertical</t>
        </is>
      </c>
      <c r="D82" s="28" t="inlineStr">
        <is>
          <t>1x</t>
        </is>
      </c>
      <c r="E82" s="50">
        <f>Scorecard!E82</f>
        <v/>
      </c>
      <c r="F82" s="50">
        <f>Scorecard!F82</f>
        <v/>
      </c>
      <c r="G82" s="50">
        <f>Scorecard!G82</f>
        <v/>
      </c>
      <c r="H82" s="50">
        <f>Scorecard!H82</f>
        <v/>
      </c>
      <c r="I82" s="50">
        <f>Scorecard!I82</f>
        <v/>
      </c>
      <c r="J82" s="50">
        <f>Scorecard!J82</f>
        <v/>
      </c>
      <c r="K82" s="50">
        <f>Scorecard!K82</f>
        <v/>
      </c>
      <c r="L82" s="50">
        <f>Scorecard!L82</f>
        <v/>
      </c>
    </row>
    <row r="83" ht="20" customHeight="1">
      <c r="B83" s="23" t="inlineStr">
        <is>
          <t>6.08</t>
        </is>
      </c>
      <c r="C83" s="33" t="inlineStr">
        <is>
          <t>Partnership ecosystem (GSI, regional SI partners in your markets)</t>
        </is>
      </c>
      <c r="D83" s="23" t="inlineStr">
        <is>
          <t>1x</t>
        </is>
      </c>
      <c r="E83" s="62">
        <f>Scorecard!E83</f>
        <v/>
      </c>
      <c r="F83" s="62">
        <f>Scorecard!F83</f>
        <v/>
      </c>
      <c r="G83" s="62">
        <f>Scorecard!G83</f>
        <v/>
      </c>
      <c r="H83" s="62">
        <f>Scorecard!H83</f>
        <v/>
      </c>
      <c r="I83" s="62">
        <f>Scorecard!I83</f>
        <v/>
      </c>
      <c r="J83" s="62">
        <f>Scorecard!J83</f>
        <v/>
      </c>
      <c r="K83" s="62">
        <f>Scorecard!K83</f>
        <v/>
      </c>
      <c r="L83" s="62">
        <f>Scorecard!L83</f>
        <v/>
      </c>
    </row>
    <row r="84" ht="5" customHeight="1">
      <c r="B84" s="35" t="n"/>
      <c r="C84" s="35" t="n"/>
      <c r="D84" s="35" t="n"/>
      <c r="E84" s="35" t="n"/>
      <c r="F84" s="35" t="n"/>
      <c r="G84" s="35" t="n"/>
      <c r="H84" s="35" t="n"/>
      <c r="I84" s="35" t="n"/>
      <c r="J84" s="35" t="n"/>
      <c r="K84" s="35" t="n"/>
      <c r="L84" s="35" t="n"/>
      <c r="M84" s="35" t="n"/>
    </row>
  </sheetData>
  <mergeCells count="8">
    <mergeCell ref="B49:L49"/>
    <mergeCell ref="B75:L75"/>
    <mergeCell ref="B25:L25"/>
    <mergeCell ref="B2:L2"/>
    <mergeCell ref="B37:L37"/>
    <mergeCell ref="B5:L5"/>
    <mergeCell ref="B61:L61"/>
    <mergeCell ref="B8:L8"/>
  </mergeCells>
  <conditionalFormatting sqref="E8:L83">
    <cfRule type="colorScale" priority="1">
      <colorScale>
        <cfvo type="num" val="0"/>
        <cfvo type="num" val="3"/>
        <cfvo type="num" val="5"/>
        <color rgb="00FEE2E2"/>
        <color rgb="00FEF3C7"/>
        <color rgb="00D1FAE5"/>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2026-06-07T15:33:18Z</dcterms:created>
  <dcterms:modified xmlns:dcterms="http://purl.org/dc/terms/" xmlns:xsi="http://www.w3.org/2001/XMLSchema-instance" xsi:type="dcterms:W3CDTF">2026-06-07T15:33:19Z</dcterms:modified>
</cp:coreProperties>
</file>