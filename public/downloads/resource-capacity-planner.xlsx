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city &amp; Allocation" sheetId="1" state="visible" r:id="rId3"/>
    <sheet name="Monthly Capacity Vie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<sst xmlns="http://schemas.openxmlformats.org/spreadsheetml/2006/main" count="49" uniqueCount="45">
  <si>
    <t xml:space="preserve">Resource Capacity Planner</t>
  </si>
  <si>
    <t xml:space="preserve">Enter each person's Available Capacity (usually 100% = full-time) and their % allocation per workstream — rename the workstream columns to match your programme. Total Allocated, Utilisation, and Status all calculate automatically.</t>
  </si>
  <si>
    <t xml:space="preserve">Programme Name:</t>
  </si>
  <si>
    <t xml:space="preserve">e.g. Finance System Upgrade</t>
  </si>
  <si>
    <t xml:space="preserve">Period:</t>
  </si>
  <si>
    <t xml:space="preserve">e.g. Q1 2025</t>
  </si>
  <si>
    <t xml:space="preserve">Summary</t>
  </si>
  <si>
    <t xml:space="preserve">Team Members</t>
  </si>
  <si>
    <t xml:space="preserve">Overallocated</t>
  </si>
  <si>
    <t xml:space="preserve">Gap (Underused)</t>
  </si>
  <si>
    <t xml:space="preserve">OK</t>
  </si>
  <si>
    <t xml:space="preserve">Average Utilisation</t>
  </si>
  <si>
    <t xml:space="preserve">Workstream Allocation Matrix</t>
  </si>
  <si>
    <t xml:space="preserve">Team Member</t>
  </si>
  <si>
    <t xml:space="preserve">Role</t>
  </si>
  <si>
    <t xml:space="preserve">Available Capacity</t>
  </si>
  <si>
    <t xml:space="preserve">Workstream 1</t>
  </si>
  <si>
    <t xml:space="preserve">Workstream 2</t>
  </si>
  <si>
    <t xml:space="preserve">Workstream 3</t>
  </si>
  <si>
    <t xml:space="preserve">Workstream 4</t>
  </si>
  <si>
    <t xml:space="preserve">Workstream 5</t>
  </si>
  <si>
    <t xml:space="preserve">Total Allocated</t>
  </si>
  <si>
    <t xml:space="preserve">Utilisation</t>
  </si>
  <si>
    <t xml:space="preserve">Status</t>
  </si>
  <si>
    <t xml:space="preserve">J. Alvarez</t>
  </si>
  <si>
    <t xml:space="preserve">Finance Lead</t>
  </si>
  <si>
    <t xml:space="preserve">Legend</t>
  </si>
  <si>
    <t xml:space="preserve">Overallocated (utilisation &gt; 100%)</t>
  </si>
  <si>
    <t xml:space="preserve">Gap / Underused (utilisation &lt; 80%)</t>
  </si>
  <si>
    <t xml:space="preserve">OK (80-100% utilisation)</t>
  </si>
  <si>
    <t xml:space="preserve">Utilisation = Total Allocated ÷ Available Capacity. A person available 50% (part-time) who is allocated 60% total is Overallocated (120%) even though 60% looks modest at a glance — always read Utilisation, not the raw Total Allocated percentage, when judging workload.</t>
  </si>
  <si>
    <t xml:space="preserve">Monthly Capacity View</t>
  </si>
  <si>
    <t xml:space="preserve">Roll up total team capacity and demand month by month — useful for spotting a squeeze coming two or three months out, before it shows up in the current-period matrix. Enter each month’s totals as your plan evolves.</t>
  </si>
  <si>
    <t xml:space="preserve">Monthly Rollup</t>
  </si>
  <si>
    <t xml:space="preserve">Month</t>
  </si>
  <si>
    <t xml:space="preserve">Total Available Capacity (FTE)</t>
  </si>
  <si>
    <t xml:space="preserve">Total Demand (FTE)</t>
  </si>
  <si>
    <t xml:space="preserve">Example: 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</si>
  <si>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</si>
  <si>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</si>
  <si>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</si>
  <si>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</si>
  <si>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</si>
  <si>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Overallocated (demand exceeds capacity)</t>
  </si>
  <si>
    <t xml:space="preserve">Gap (capacity going unused)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</si>
</sst>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1A3C5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404040"/>
      <name val="Arial"/>
      <family val="0"/>
      <charset val="1"/>
    </font>
    <font>
      <b val="true"/>
      <i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A3C5E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C5E"/>
        <bgColor rgb="FF404040"/>
      </patternFill>
    </fill>
    <fill>
      <patternFill patternType="solid">
        <fgColor rgb="FFF2F2F2"/>
        <bgColor rgb="FFFFFFFF"/>
      </patternFill>
    </fill>
    <fill>
      <patternFill patternType="solid">
        <fgColor rgb="FFE74C3C"/>
        <bgColor rgb="FFFF8080"/>
      </patternFill>
    </fill>
    <fill>
      <patternFill patternType="solid">
        <fgColor rgb="FFF39C12"/>
        <bgColor rgb="FFFFCC00"/>
      </patternFill>
    </fill>
    <fill>
      <patternFill patternType="solid">
        <fgColor rgb="FF1E8449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FFFFFF"/>
      </font>
      <fill>
        <patternFill>
          <bgColor rgb="FFE74C3C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39C12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E844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74C3C"/>
      <rgbColor rgb="FF595959"/>
      <rgbColor rgb="FF969696"/>
      <rgbColor rgb="FF1A3C5E"/>
      <rgbColor rgb="FF1E8449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8" min="4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</row>
    <row r="7" customFormat="false" ht="15" hidden="false" customHeight="false" outlineLevel="0" collapsed="false">
      <c r="A7" s="5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customFormat="false" ht="25.5" hidden="false" customHeight="true" outlineLevel="0" collapsed="false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</row>
    <row r="9" customFormat="false" ht="25.5" hidden="false" customHeight="true" outlineLevel="0" collapsed="false">
      <c r="A9" s="7" t="n">
        <f aca="false">COUNTIF(A13:A27,"?*")</f>
        <v>1</v>
      </c>
      <c r="B9" s="7" t="n">
        <f aca="false">COUNTIF(K13:K27,"Overallocated")</f>
        <v>0</v>
      </c>
      <c r="C9" s="7" t="n">
        <f aca="false">COUNTIF(K13:K27,"Gap")</f>
        <v>0</v>
      </c>
      <c r="D9" s="7" t="n">
        <f aca="false">COUNTIF(K13:K27,"OK")</f>
        <v>1</v>
      </c>
      <c r="E9" s="8" t="n">
        <f aca="false">IFERROR(AVERAGE(J13:J27),"")</f>
        <v>0.9</v>
      </c>
    </row>
    <row r="11" customFormat="false" ht="15" hidden="false" customHeight="false" outlineLevel="0" collapsed="false">
      <c r="A11" s="5" t="s">
        <v>12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customFormat="false" ht="31.5" hidden="false" customHeight="true" outlineLevel="0" collapsed="false">
      <c r="A12" s="6" t="s">
        <v>13</v>
      </c>
      <c r="B12" s="6" t="s">
        <v>14</v>
      </c>
      <c r="C12" s="6" t="s">
        <v>15</v>
      </c>
      <c r="D12" s="9" t="s">
        <v>16</v>
      </c>
      <c r="E12" s="9" t="s">
        <v>17</v>
      </c>
      <c r="F12" s="9" t="s">
        <v>18</v>
      </c>
      <c r="G12" s="9" t="s">
        <v>19</v>
      </c>
      <c r="H12" s="9" t="s">
        <v>20</v>
      </c>
      <c r="I12" s="6" t="s">
        <v>21</v>
      </c>
      <c r="J12" s="6" t="s">
        <v>22</v>
      </c>
      <c r="K12" s="6" t="s">
        <v>23</v>
      </c>
    </row>
    <row r="13" customFormat="false" ht="24" hidden="false" customHeight="true" outlineLevel="0" collapsed="false">
      <c r="A13" s="10" t="s">
        <v>24</v>
      </c>
      <c r="B13" s="10" t="s">
        <v>25</v>
      </c>
      <c r="C13" s="11" t="n">
        <v>1</v>
      </c>
      <c r="D13" s="11" t="n">
        <v>0.4</v>
      </c>
      <c r="E13" s="11" t="n">
        <v>0.3</v>
      </c>
      <c r="F13" s="11" t="n">
        <v>0.2</v>
      </c>
      <c r="G13" s="11" t="n">
        <v>0</v>
      </c>
      <c r="H13" s="11" t="n">
        <v>0</v>
      </c>
      <c r="I13" s="12" t="n">
        <f aca="false">IF(COUNT(D13:H13)=0,"",SUM(D13:H13))</f>
        <v>0.9</v>
      </c>
      <c r="J13" s="12" t="n">
        <f aca="false">IF(OR(C13="",I13=""),"",I13/C13)</f>
        <v>0.9</v>
      </c>
      <c r="K13" s="13" t="str">
        <f aca="false">IF(J13="","",IF(J13&gt;1,"Overallocated",IF(J13&lt;0.8,"Gap","OK")))</f>
        <v>OK</v>
      </c>
    </row>
    <row r="14" customFormat="false" ht="24" hidden="false" customHeight="true" outlineLevel="0" collapsed="false">
      <c r="A14" s="14"/>
      <c r="B14" s="14"/>
      <c r="C14" s="15"/>
      <c r="D14" s="15"/>
      <c r="E14" s="15"/>
      <c r="F14" s="15"/>
      <c r="G14" s="15"/>
      <c r="H14" s="15"/>
      <c r="I14" s="16" t="str">
        <f aca="false">IF(COUNT(D14:H14)=0,"",SUM(D14:H14))</f>
        <v/>
      </c>
      <c r="J14" s="16" t="str">
        <f aca="false">IF(OR(C14="",I14=""),"",I14/C14)</f>
        <v/>
      </c>
      <c r="K14" s="17" t="str">
        <f aca="false">IF(J14="","",IF(J14&gt;1,"Overallocated",IF(J14&lt;0.8,"Gap","OK")))</f>
        <v/>
      </c>
    </row>
    <row r="15" customFormat="false" ht="24" hidden="false" customHeight="true" outlineLevel="0" collapsed="false">
      <c r="A15" s="14"/>
      <c r="B15" s="14"/>
      <c r="C15" s="15"/>
      <c r="D15" s="15"/>
      <c r="E15" s="15"/>
      <c r="F15" s="15"/>
      <c r="G15" s="15"/>
      <c r="H15" s="15"/>
      <c r="I15" s="16" t="str">
        <f aca="false">IF(COUNT(D15:H15)=0,"",SUM(D15:H15))</f>
        <v/>
      </c>
      <c r="J15" s="16" t="str">
        <f aca="false">IF(OR(C15="",I15=""),"",I15/C15)</f>
        <v/>
      </c>
      <c r="K15" s="17" t="str">
        <f aca="false">IF(J15="","",IF(J15&gt;1,"Overallocated",IF(J15&lt;0.8,"Gap","OK")))</f>
        <v/>
      </c>
    </row>
    <row r="16" customFormat="false" ht="24" hidden="false" customHeight="true" outlineLevel="0" collapsed="false">
      <c r="A16" s="14"/>
      <c r="B16" s="14"/>
      <c r="C16" s="15"/>
      <c r="D16" s="15"/>
      <c r="E16" s="15"/>
      <c r="F16" s="15"/>
      <c r="G16" s="15"/>
      <c r="H16" s="15"/>
      <c r="I16" s="16" t="str">
        <f aca="false">IF(COUNT(D16:H16)=0,"",SUM(D16:H16))</f>
        <v/>
      </c>
      <c r="J16" s="16" t="str">
        <f aca="false">IF(OR(C16="",I16=""),"",I16/C16)</f>
        <v/>
      </c>
      <c r="K16" s="17" t="str">
        <f aca="false">IF(J16="","",IF(J16&gt;1,"Overallocated",IF(J16&lt;0.8,"Gap","OK")))</f>
        <v/>
      </c>
    </row>
    <row r="17" customFormat="false" ht="24" hidden="false" customHeight="true" outlineLevel="0" collapsed="false">
      <c r="A17" s="14"/>
      <c r="B17" s="14"/>
      <c r="C17" s="15"/>
      <c r="D17" s="15"/>
      <c r="E17" s="15"/>
      <c r="F17" s="15"/>
      <c r="G17" s="15"/>
      <c r="H17" s="15"/>
      <c r="I17" s="16" t="str">
        <f aca="false">IF(COUNT(D17:H17)=0,"",SUM(D17:H17))</f>
        <v/>
      </c>
      <c r="J17" s="16" t="str">
        <f aca="false">IF(OR(C17="",I17=""),"",I17/C17)</f>
        <v/>
      </c>
      <c r="K17" s="17" t="str">
        <f aca="false">IF(J17="","",IF(J17&gt;1,"Overallocated",IF(J17&lt;0.8,"Gap","OK")))</f>
        <v/>
      </c>
    </row>
    <row r="18" customFormat="false" ht="24" hidden="false" customHeight="true" outlineLevel="0" collapsed="false">
      <c r="A18" s="14"/>
      <c r="B18" s="14"/>
      <c r="C18" s="15"/>
      <c r="D18" s="15"/>
      <c r="E18" s="15"/>
      <c r="F18" s="15"/>
      <c r="G18" s="15"/>
      <c r="H18" s="15"/>
      <c r="I18" s="16" t="str">
        <f aca="false">IF(COUNT(D18:H18)=0,"",SUM(D18:H18))</f>
        <v/>
      </c>
      <c r="J18" s="16" t="str">
        <f aca="false">IF(OR(C18="",I18=""),"",I18/C18)</f>
        <v/>
      </c>
      <c r="K18" s="17" t="str">
        <f aca="false">IF(J18="","",IF(J18&gt;1,"Overallocated",IF(J18&lt;0.8,"Gap","OK")))</f>
        <v/>
      </c>
    </row>
    <row r="19" customFormat="false" ht="24" hidden="false" customHeight="true" outlineLevel="0" collapsed="false">
      <c r="A19" s="14"/>
      <c r="B19" s="14"/>
      <c r="C19" s="15"/>
      <c r="D19" s="15"/>
      <c r="E19" s="15"/>
      <c r="F19" s="15"/>
      <c r="G19" s="15"/>
      <c r="H19" s="15"/>
      <c r="I19" s="16" t="str">
        <f aca="false">IF(COUNT(D19:H19)=0,"",SUM(D19:H19))</f>
        <v/>
      </c>
      <c r="J19" s="16" t="str">
        <f aca="false">IF(OR(C19="",I19=""),"",I19/C19)</f>
        <v/>
      </c>
      <c r="K19" s="17" t="str">
        <f aca="false">IF(J19="","",IF(J19&gt;1,"Overallocated",IF(J19&lt;0.8,"Gap","OK")))</f>
        <v/>
      </c>
    </row>
    <row r="20" customFormat="false" ht="24" hidden="false" customHeight="true" outlineLevel="0" collapsed="false">
      <c r="A20" s="14"/>
      <c r="B20" s="14"/>
      <c r="C20" s="15"/>
      <c r="D20" s="15"/>
      <c r="E20" s="15"/>
      <c r="F20" s="15"/>
      <c r="G20" s="15"/>
      <c r="H20" s="15"/>
      <c r="I20" s="16" t="str">
        <f aca="false">IF(COUNT(D20:H20)=0,"",SUM(D20:H20))</f>
        <v/>
      </c>
      <c r="J20" s="16" t="str">
        <f aca="false">IF(OR(C20="",I20=""),"",I20/C20)</f>
        <v/>
      </c>
      <c r="K20" s="17" t="str">
        <f aca="false">IF(J20="","",IF(J20&gt;1,"Overallocated",IF(J20&lt;0.8,"Gap","OK")))</f>
        <v/>
      </c>
    </row>
    <row r="21" customFormat="false" ht="24" hidden="false" customHeight="true" outlineLevel="0" collapsed="false">
      <c r="A21" s="14"/>
      <c r="B21" s="14"/>
      <c r="C21" s="15"/>
      <c r="D21" s="15"/>
      <c r="E21" s="15"/>
      <c r="F21" s="15"/>
      <c r="G21" s="15"/>
      <c r="H21" s="15"/>
      <c r="I21" s="16" t="str">
        <f aca="false">IF(COUNT(D21:H21)=0,"",SUM(D21:H21))</f>
        <v/>
      </c>
      <c r="J21" s="16" t="str">
        <f aca="false">IF(OR(C21="",I21=""),"",I21/C21)</f>
        <v/>
      </c>
      <c r="K21" s="17" t="str">
        <f aca="false">IF(J21="","",IF(J21&gt;1,"Overallocated",IF(J21&lt;0.8,"Gap","OK")))</f>
        <v/>
      </c>
    </row>
    <row r="22" customFormat="false" ht="24" hidden="false" customHeight="true" outlineLevel="0" collapsed="false">
      <c r="A22" s="14"/>
      <c r="B22" s="14"/>
      <c r="C22" s="15"/>
      <c r="D22" s="15"/>
      <c r="E22" s="15"/>
      <c r="F22" s="15"/>
      <c r="G22" s="15"/>
      <c r="H22" s="15"/>
      <c r="I22" s="16" t="str">
        <f aca="false">IF(COUNT(D22:H22)=0,"",SUM(D22:H22))</f>
        <v/>
      </c>
      <c r="J22" s="16" t="str">
        <f aca="false">IF(OR(C22="",I22=""),"",I22/C22)</f>
        <v/>
      </c>
      <c r="K22" s="17" t="str">
        <f aca="false">IF(J22="","",IF(J22&gt;1,"Overallocated",IF(J22&lt;0.8,"Gap","OK")))</f>
        <v/>
      </c>
    </row>
    <row r="23" customFormat="false" ht="24" hidden="false" customHeight="true" outlineLevel="0" collapsed="false">
      <c r="A23" s="14"/>
      <c r="B23" s="14"/>
      <c r="C23" s="15"/>
      <c r="D23" s="15"/>
      <c r="E23" s="15"/>
      <c r="F23" s="15"/>
      <c r="G23" s="15"/>
      <c r="H23" s="15"/>
      <c r="I23" s="16" t="str">
        <f aca="false">IF(COUNT(D23:H23)=0,"",SUM(D23:H23))</f>
        <v/>
      </c>
      <c r="J23" s="16" t="str">
        <f aca="false">IF(OR(C23="",I23=""),"",I23/C23)</f>
        <v/>
      </c>
      <c r="K23" s="17" t="str">
        <f aca="false">IF(J23="","",IF(J23&gt;1,"Overallocated",IF(J23&lt;0.8,"Gap","OK")))</f>
        <v/>
      </c>
    </row>
    <row r="24" customFormat="false" ht="24" hidden="false" customHeight="true" outlineLevel="0" collapsed="false">
      <c r="A24" s="14"/>
      <c r="B24" s="14"/>
      <c r="C24" s="15"/>
      <c r="D24" s="15"/>
      <c r="E24" s="15"/>
      <c r="F24" s="15"/>
      <c r="G24" s="15"/>
      <c r="H24" s="15"/>
      <c r="I24" s="16" t="str">
        <f aca="false">IF(COUNT(D24:H24)=0,"",SUM(D24:H24))</f>
        <v/>
      </c>
      <c r="J24" s="16" t="str">
        <f aca="false">IF(OR(C24="",I24=""),"",I24/C24)</f>
        <v/>
      </c>
      <c r="K24" s="17" t="str">
        <f aca="false">IF(J24="","",IF(J24&gt;1,"Overallocated",IF(J24&lt;0.8,"Gap","OK")))</f>
        <v/>
      </c>
    </row>
    <row r="25" customFormat="false" ht="24" hidden="false" customHeight="true" outlineLevel="0" collapsed="false">
      <c r="A25" s="14"/>
      <c r="B25" s="14"/>
      <c r="C25" s="15"/>
      <c r="D25" s="15"/>
      <c r="E25" s="15"/>
      <c r="F25" s="15"/>
      <c r="G25" s="15"/>
      <c r="H25" s="15"/>
      <c r="I25" s="16" t="str">
        <f aca="false">IF(COUNT(D25:H25)=0,"",SUM(D25:H25))</f>
        <v/>
      </c>
      <c r="J25" s="16" t="str">
        <f aca="false">IF(OR(C25="",I25=""),"",I25/C25)</f>
        <v/>
      </c>
      <c r="K25" s="17" t="str">
        <f aca="false">IF(J25="","",IF(J25&gt;1,"Overallocated",IF(J25&lt;0.8,"Gap","OK")))</f>
        <v/>
      </c>
    </row>
    <row r="26" customFormat="false" ht="24" hidden="false" customHeight="true" outlineLevel="0" collapsed="false">
      <c r="A26" s="14"/>
      <c r="B26" s="14"/>
      <c r="C26" s="15"/>
      <c r="D26" s="15"/>
      <c r="E26" s="15"/>
      <c r="F26" s="15"/>
      <c r="G26" s="15"/>
      <c r="H26" s="15"/>
      <c r="I26" s="16" t="str">
        <f aca="false">IF(COUNT(D26:H26)=0,"",SUM(D26:H26))</f>
        <v/>
      </c>
      <c r="J26" s="16" t="str">
        <f aca="false">IF(OR(C26="",I26=""),"",I26/C26)</f>
        <v/>
      </c>
      <c r="K26" s="17" t="str">
        <f aca="false">IF(J26="","",IF(J26&gt;1,"Overallocated",IF(J26&lt;0.8,"Gap","OK")))</f>
        <v/>
      </c>
    </row>
    <row r="27" customFormat="false" ht="24" hidden="false" customHeight="true" outlineLevel="0" collapsed="false">
      <c r="A27" s="14"/>
      <c r="B27" s="14"/>
      <c r="C27" s="15"/>
      <c r="D27" s="15"/>
      <c r="E27" s="15"/>
      <c r="F27" s="15"/>
      <c r="G27" s="15"/>
      <c r="H27" s="15"/>
      <c r="I27" s="16" t="str">
        <f aca="false">IF(COUNT(D27:H27)=0,"",SUM(D27:H27))</f>
        <v/>
      </c>
      <c r="J27" s="16" t="str">
        <f aca="false">IF(OR(C27="",I27=""),"",I27/C27)</f>
        <v/>
      </c>
      <c r="K27" s="17" t="str">
        <f aca="false">IF(J27="","",IF(J27&gt;1,"Overallocated",IF(J27&lt;0.8,"Gap","OK")))</f>
        <v/>
      </c>
    </row>
    <row r="30" customFormat="false" ht="15" hidden="false" customHeight="false" outlineLevel="0" collapsed="false">
      <c r="A30" s="18" t="s">
        <v>26</v>
      </c>
    </row>
    <row r="31" customFormat="false" ht="15" hidden="false" customHeight="false" outlineLevel="0" collapsed="false">
      <c r="A31" s="19"/>
      <c r="B31" s="20" t="s">
        <v>27</v>
      </c>
    </row>
    <row r="32" customFormat="false" ht="15" hidden="false" customHeight="false" outlineLevel="0" collapsed="false">
      <c r="A32" s="21"/>
      <c r="B32" s="20" t="s">
        <v>28</v>
      </c>
    </row>
    <row r="33" customFormat="false" ht="15" hidden="false" customHeight="false" outlineLevel="0" collapsed="false">
      <c r="A33" s="22"/>
      <c r="B33" s="20" t="s">
        <v>29</v>
      </c>
    </row>
    <row r="35" customFormat="false" ht="19.4" hidden="false" customHeight="true" outlineLevel="0" collapsed="false">
      <c r="A35" s="23" t="s">
        <v>30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</row>
  </sheetData>
  <mergeCells count="9">
    <mergeCell ref="A1:K1"/>
    <mergeCell ref="A2:K2"/>
    <mergeCell ref="A4:B4"/>
    <mergeCell ref="C4:K4"/>
    <mergeCell ref="A5:B5"/>
    <mergeCell ref="C5:K5"/>
    <mergeCell ref="A7:K7"/>
    <mergeCell ref="A11:K11"/>
    <mergeCell ref="A35:K35"/>
  </mergeCells>
  <conditionalFormatting sqref="K13:K27">
    <cfRule type="cellIs" priority="2" operator="equal" aboveAverage="0" equalAverage="0" bottom="0" percent="0" rank="0" text="" dxfId="0">
      <formula>"Overallocated"</formula>
    </cfRule>
    <cfRule type="cellIs" priority="3" operator="equal" aboveAverage="0" equalAverage="0" bottom="0" percent="0" rank="0" text="" dxfId="1">
      <formula>"Gap"</formula>
    </cfRule>
    <cfRule type="cellIs" priority="4" operator="equal" aboveAverage="0" equalAverage="0" bottom="0" percent="0" rank="0" text="" dxfId="2">
      <formula>"OK"</formula>
    </cfRule>
  </conditionalFormatting>
  <conditionalFormatting sqref="J13:J27">
    <cfRule type="cellIs" priority="5" operator="greaterThan" aboveAverage="0" equalAverage="0" bottom="0" percent="0" rank="0" text="" dxfId="0">
      <formula>1</formula>
    </cfRule>
    <cfRule type="expression" priority="6" aboveAverage="0" equalAverage="0" bottom="0" percent="0" rank="0" text="" dxfId="1">
      <formula>AND(ISNUMBER(J13),J13&lt;0.8)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5"/>
  </cols>
  <sheetData>
    <row r="1" customFormat="false" ht="30" hidden="false" customHeight="true" outlineLevel="0" collapsed="false">
      <c r="A1" s="1" t="s">
        <v>31</v>
      </c>
      <c r="B1" s="1"/>
      <c r="C1" s="1"/>
      <c r="D1" s="1"/>
      <c r="E1" s="1"/>
    </row>
    <row r="2" customFormat="false" ht="33.75" hidden="false" customHeight="true" outlineLevel="0" collapsed="false">
      <c r="A2" s="2" t="s">
        <v>32</v>
      </c>
      <c r="B2" s="2"/>
      <c r="C2" s="2"/>
      <c r="D2" s="2"/>
      <c r="E2" s="2"/>
    </row>
    <row r="4" customFormat="false" ht="15" hidden="false" customHeight="false" outlineLevel="0" collapsed="false">
      <c r="A4" s="5" t="s">
        <v>33</v>
      </c>
      <c r="B4" s="5"/>
      <c r="C4" s="5"/>
      <c r="D4" s="5"/>
      <c r="E4" s="5"/>
    </row>
    <row r="5" customFormat="false" ht="31.5" hidden="false" customHeight="true" outlineLevel="0" collapsed="false">
      <c r="A5" s="6" t="s">
        <v>34</v>
      </c>
      <c r="B5" s="6" t="s">
        <v>35</v>
      </c>
      <c r="C5" s="6" t="s">
        <v>36</v>
      </c>
      <c r="D5" s="6" t="s">
        <v>22</v>
      </c>
      <c r="E5" s="6" t="s">
        <v>23</v>
      </c>
    </row>
    <row r="6" customFormat="false" ht="25.5" hidden="false" customHeight="true" outlineLevel="0" collapsed="false">
      <c r="A6" s="10" t="s">
        <v>37</v>
      </c>
      <c r="B6" s="24" t="n">
        <v>12</v>
      </c>
      <c r="C6" s="24" t="n">
        <v>10.8</v>
      </c>
      <c r="D6" s="12" t="n">
        <f aca="false">IF(OR(B6="",C6=""),"",C6/B6)</f>
        <v>0.9</v>
      </c>
      <c r="E6" s="13" t="str">
        <f aca="false">IF(D6="","",IF(D6&gt;1,"Overallocated",IF(D6&lt;0.8,"Gap","OK")))</f>
        <v>OK</v>
      </c>
    </row>
    <row r="7" customFormat="false" ht="25.5" hidden="false" customHeight="true" outlineLevel="0" collapsed="false">
      <c r="A7" s="14" t="s">
        <v>38</v>
      </c>
      <c r="B7" s="25" t="n">
        <v>12</v>
      </c>
      <c r="C7" s="25" t="n">
        <v>11.5</v>
      </c>
      <c r="D7" s="16" t="n">
        <f aca="false">IF(OR(B7="",C7=""),"",C7/B7)</f>
        <v>0.958333333333333</v>
      </c>
      <c r="E7" s="17" t="str">
        <f aca="false">IF(D7="","",IF(D7&gt;1,"Overallocated",IF(D7&lt;0.8,"Gap","OK")))</f>
        <v>OK</v>
      </c>
    </row>
    <row r="8" customFormat="false" ht="25.5" hidden="false" customHeight="true" outlineLevel="0" collapsed="false">
      <c r="A8" s="14" t="s">
        <v>39</v>
      </c>
      <c r="B8" s="25" t="n">
        <v>12</v>
      </c>
      <c r="C8" s="25" t="n">
        <v>13.2</v>
      </c>
      <c r="D8" s="16" t="n">
        <f aca="false">IF(OR(B8="",C8=""),"",C8/B8)</f>
        <v>1.1</v>
      </c>
      <c r="E8" s="17" t="str">
        <f aca="false">IF(D8="","",IF(D8&gt;1,"Overallocated",IF(D8&lt;0.8,"Gap","OK")))</f>
        <v>Overallocated</v>
      </c>
    </row>
    <row r="9" customFormat="false" ht="25.5" hidden="false" customHeight="true" outlineLevel="0" collapsed="false">
      <c r="A9" s="14" t="s">
        <v>40</v>
      </c>
      <c r="B9" s="25" t="n">
        <v>13</v>
      </c>
      <c r="C9" s="25" t="n">
        <v>9.5</v>
      </c>
      <c r="D9" s="16" t="n">
        <f aca="false">IF(OR(B9="",C9=""),"",C9/B9)</f>
        <v>0.730769230769231</v>
      </c>
      <c r="E9" s="17" t="str">
        <f aca="false">IF(D9="","",IF(D9&gt;1,"Overallocated",IF(D9&lt;0.8,"Gap","OK")))</f>
        <v>Gap</v>
      </c>
    </row>
    <row r="10" customFormat="false" ht="25.5" hidden="false" customHeight="true" outlineLevel="0" collapsed="false">
      <c r="A10" s="14" t="s">
        <v>41</v>
      </c>
      <c r="B10" s="25" t="n">
        <v>13</v>
      </c>
      <c r="C10" s="25"/>
      <c r="D10" s="16" t="str">
        <f aca="false">IF(OR(B10="",C10=""),"",C10/B10)</f>
        <v/>
      </c>
      <c r="E10" s="17" t="str">
        <f aca="false">IF(D10="","",IF(D10&gt;1,"Overallocated",IF(D10&lt;0.8,"Gap","OK")))</f>
        <v/>
      </c>
    </row>
    <row r="11" customFormat="false" ht="25.5" hidden="false" customHeight="true" outlineLevel="0" collapsed="false">
      <c r="A11" s="14" t="s">
        <v>42</v>
      </c>
      <c r="B11" s="25" t="n">
        <v>13</v>
      </c>
      <c r="C11" s="25"/>
      <c r="D11" s="16" t="str">
        <f aca="false">IF(OR(B11="",C11=""),"",C11/B11)</f>
        <v/>
      </c>
      <c r="E11" s="17" t="str">
        <f aca="false">IF(D11="","",IF(D11&gt;1,"Overallocated",IF(D11&lt;0.8,"Gap","OK")))</f>
        <v/>
      </c>
    </row>
    <row r="14" customFormat="false" ht="15" hidden="false" customHeight="false" outlineLevel="0" collapsed="false">
      <c r="A14" s="18" t="s">
        <v>26</v>
      </c>
    </row>
    <row r="15" customFormat="false" ht="15" hidden="false" customHeight="false" outlineLevel="0" collapsed="false">
      <c r="A15" s="19"/>
      <c r="B15" s="20" t="s">
        <v>43</v>
      </c>
    </row>
    <row r="16" customFormat="false" ht="15" hidden="false" customHeight="false" outlineLevel="0" collapsed="false">
      <c r="A16" s="21"/>
      <c r="B16" s="20" t="s">
        <v>44</v>
      </c>
    </row>
    <row r="17" customFormat="false" ht="15" hidden="false" customHeight="false" outlineLevel="0" collapsed="false">
      <c r="A17" s="22"/>
      <c r="B17" s="20" t="s">
        <v>10</v>
      </c>
    </row>
  </sheetData>
  <mergeCells count="3">
    <mergeCell ref="A1:E1"/>
    <mergeCell ref="A2:E2"/>
    <mergeCell ref="A4:E4"/>
  </mergeCells>
  <conditionalFormatting sqref="E6:E11">
    <cfRule type="cellIs" priority="2" operator="equal" aboveAverage="0" equalAverage="0" bottom="0" percent="0" rank="0" text="" dxfId="0">
      <formula>"Overallocated"</formula>
    </cfRule>
    <cfRule type="cellIs" priority="3" operator="equal" aboveAverage="0" equalAverage="0" bottom="0" percent="0" rank="0" text="" dxfId="1">
      <formula>"Gap"</formula>
    </cfRule>
    <cfRule type="cellIs" priority="4" operator="equal" aboveAverage="0" equalAverage="0" bottom="0" percent="0" rank="0" text="" dxfId="2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2026-09-07T14:22:54Z</dcterms:created>
  <dc:creator>openpyxl</dc:creator>
  <dc:description/>
  <dc:language>en-US</dc:language>
  <cp:lastModifiedBy/>
  <dcterms:modified xsi:type="dcterms:W3CDTF">2026-09-07T14:22:54Z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