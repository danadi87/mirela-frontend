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ragu\Documents\GitHub\mirela-website\mirela-frontend\public\downloads\"/>
    </mc:Choice>
  </mc:AlternateContent>
  <xr:revisionPtr revIDLastSave="0" documentId="8_{EBAF8255-BC22-4437-BBBD-91F790CEB04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structions" sheetId="1" r:id="rId1"/>
    <sheet name="Current State Costs" sheetId="2" r:id="rId2"/>
    <sheet name="Proposed Solution Costs" sheetId="3" r:id="rId3"/>
    <sheet name="ROI Calculation" sheetId="4" r:id="rId4"/>
    <sheet name="Sensitivity Analysi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3" l="1"/>
  <c r="B19" i="3" s="1"/>
  <c r="B8" i="4" s="1"/>
  <c r="B17" i="3"/>
  <c r="B13" i="3"/>
  <c r="B7" i="4" s="1"/>
  <c r="B12" i="4" s="1"/>
  <c r="B8" i="3"/>
  <c r="B6" i="4" s="1"/>
  <c r="B8" i="2"/>
  <c r="B15" i="2" s="1"/>
  <c r="B5" i="4" s="1"/>
  <c r="D20" i="4" l="1"/>
  <c r="C20" i="4"/>
  <c r="B13" i="4"/>
  <c r="D21" i="4"/>
  <c r="D22" i="4" s="1"/>
  <c r="C21" i="4"/>
  <c r="C22" i="4" s="1"/>
  <c r="B21" i="4"/>
  <c r="B20" i="4"/>
  <c r="B10" i="5" l="1"/>
  <c r="C10" i="5"/>
  <c r="D10" i="5"/>
  <c r="B22" i="4"/>
  <c r="B16" i="4"/>
  <c r="D12" i="5" l="1"/>
  <c r="D11" i="5"/>
  <c r="B27" i="4"/>
  <c r="B26" i="4"/>
  <c r="B23" i="4"/>
  <c r="C23" i="4" s="1"/>
  <c r="D23" i="4" s="1"/>
  <c r="C12" i="5"/>
  <c r="C11" i="5"/>
  <c r="B12" i="5"/>
  <c r="B11" i="5"/>
</calcChain>
</file>

<file path=xl/sharedStrings.xml><?xml version="1.0" encoding="utf-8"?>
<sst xmlns="http://schemas.openxmlformats.org/spreadsheetml/2006/main" count="98" uniqueCount="95">
  <si>
    <t>Finance Automation ROI Calculation Model</t>
  </si>
  <si>
    <t>The companion Excel model behind the Finance Automation Business Case Template — full cost, benefit, and sensitivity calculations.</t>
  </si>
  <si>
    <t>How This Workbook Is Organised</t>
  </si>
  <si>
    <t>–  Current State Costs: What the manual process costs today — labour, errors, and any quantifiable opportunity cost.</t>
  </si>
  <si>
    <t>–  Proposed Solution Costs: One-time Year 1 costs, ongoing annual costs, and any residual manual effort still required.</t>
  </si>
  <si>
    <t>–  ROI Calculation: The core model — annual net savings, simple payback period, 3-year ROI, and NPV.</t>
  </si>
  <si>
    <t>–  Sensitivity Analysis: Best / Base / Worst case scenarios so the business case doesn't rest on a single optimistic number.</t>
  </si>
  <si>
    <t>Colour Legend</t>
  </si>
  <si>
    <t>–  Blue text = an input cell — replace with your own organisation's figures.</t>
  </si>
  <si>
    <t>–  Black text = a formula — do not overtype, or the model will stop calculating correctly.</t>
  </si>
  <si>
    <t>–  Green text = a link pulling data from another tab.</t>
  </si>
  <si>
    <t>Getting Started</t>
  </si>
  <si>
    <t>1.  Fill in ‘Current State Costs’ with your actual hours, rate, and any known error or rework cost.</t>
  </si>
  <si>
    <t>2.  Fill in ‘Proposed Solution Costs’ with real vendor quotes or estimates — not round numbers chosen because they look credible.</t>
  </si>
  <si>
    <t>3.  Review ‘ROI Calculation’ — every figure here updates automatically from the two input tabs.</t>
  </si>
  <si>
    <t>4.  Check ‘Sensitivity Analysis’ before presenting a single headline number — know your Worst Case, not just your Base Case.</t>
  </si>
  <si>
    <t>5.  Copy the headline figures from ‘ROI Calculation’ into Section 4 of the companion Word business case template.</t>
  </si>
  <si>
    <t>Important Notes</t>
  </si>
  <si>
    <t>This workbook ships with illustrative sample figures so you can see how the model behaves — replace every blue input cell with your own numbers before using it for a real decision.</t>
  </si>
  <si>
    <t>A model is only as credible as its assumptions. Be prepared to explain where every input figure came from, not just what the final ROI percentage says.</t>
  </si>
  <si>
    <t>Current State Costs</t>
  </si>
  <si>
    <t>What the manual process costs today. Every figure should be traceable to a real source, not a round estimate.</t>
  </si>
  <si>
    <t>Labour Cost</t>
  </si>
  <si>
    <t>Manual Hours per Week</t>
  </si>
  <si>
    <t>e.g. from a time-tracking exercise</t>
  </si>
  <si>
    <t>Fully Loaded Hourly Rate ($)</t>
  </si>
  <si>
    <t>include benefits/overhead, not just base pay</t>
  </si>
  <si>
    <t>Working Weeks per Year</t>
  </si>
  <si>
    <t>accounting for holidays and PTO</t>
  </si>
  <si>
    <t>Annual Labour Cost</t>
  </si>
  <si>
    <t>Other Current-State Costs</t>
  </si>
  <si>
    <t>Estimated Annual Error / Rework Cost</t>
  </si>
  <si>
    <t>cost of corrections, restatements, or write-offs</t>
  </si>
  <si>
    <t>Estimated Annual Opportunity Cost</t>
  </si>
  <si>
    <t>value of delayed decisions — leave as 0 if not quantifiable</t>
  </si>
  <si>
    <t>Total</t>
  </si>
  <si>
    <t>TOTAL CURRENT STATE ANNUAL COST</t>
  </si>
  <si>
    <t>Proposed Solution Costs</t>
  </si>
  <si>
    <t>One-time Year 1 costs, ongoing annual costs, and any residual manual effort still required after automation.</t>
  </si>
  <si>
    <t>Year 1 One-Time Costs</t>
  </si>
  <si>
    <t>Software / Licensing (Year 1)</t>
  </si>
  <si>
    <t>use a real vendor quote where possible</t>
  </si>
  <si>
    <t>Implementation</t>
  </si>
  <si>
    <t>internal hours + any external setup cost</t>
  </si>
  <si>
    <t>Training</t>
  </si>
  <si>
    <t>see the Training and Capability Building guidance elsewhere in this category</t>
  </si>
  <si>
    <t>TOTAL YEAR 1 ONE-TIME COST</t>
  </si>
  <si>
    <t>Ongoing Annual Costs (Year 2+)</t>
  </si>
  <si>
    <t>Annual Licensing</t>
  </si>
  <si>
    <t>Annual Governance / Maintenance</t>
  </si>
  <si>
    <t>monitoring, access reviews, periodic reassessment</t>
  </si>
  <si>
    <t>TOTAL ONGOING ANNUAL COST</t>
  </si>
  <si>
    <t>Residual Manual Effort (Post-Automation)</t>
  </si>
  <si>
    <t>Residual Hours per Week</t>
  </si>
  <si>
    <t>manual review or exception-handling still needed</t>
  </si>
  <si>
    <t>Hourly Rate ($, linked)</t>
  </si>
  <si>
    <t>Working Weeks per Year (linked)</t>
  </si>
  <si>
    <t>RESIDUAL ANNUAL LABOUR COST</t>
  </si>
  <si>
    <t>ROI Calculation</t>
  </si>
  <si>
    <t>Every figure below updates automatically from the Current State Costs and Proposed Solution Costs tabs.</t>
  </si>
  <si>
    <t>Key Inputs (Linked)</t>
  </si>
  <si>
    <t>Total Current State Annual Cost</t>
  </si>
  <si>
    <t>Total Year 1 One-Time Cost</t>
  </si>
  <si>
    <t>Total Ongoing Annual Cost (Year 2+)</t>
  </si>
  <si>
    <t>Residual Annual Labour Cost</t>
  </si>
  <si>
    <t>Discount Rate (for NPV)</t>
  </si>
  <si>
    <t>Steady-State Annual Savings</t>
  </si>
  <si>
    <t>Total Ongoing Cost After Automation</t>
  </si>
  <si>
    <t>ANNUAL NET SAVINGS (steady state)</t>
  </si>
  <si>
    <t>Payback Period</t>
  </si>
  <si>
    <t>SIMPLE PAYBACK PERIOD (months)</t>
  </si>
  <si>
    <t>3-Year Cash Flow</t>
  </si>
  <si>
    <t>Year 1</t>
  </si>
  <si>
    <t>Year 2</t>
  </si>
  <si>
    <t>Year 3</t>
  </si>
  <si>
    <t>Total Cost</t>
  </si>
  <si>
    <t>Gross Savings (current-state cost avoided)</t>
  </si>
  <si>
    <t>Net Cash Flow</t>
  </si>
  <si>
    <t>Cumulative Net Cash Flow</t>
  </si>
  <si>
    <t>Headline Summary</t>
  </si>
  <si>
    <t>3-YEAR ROI (%)</t>
  </si>
  <si>
    <t>NET PRESENT VALUE (NPV)</t>
  </si>
  <si>
    <t>Sensitivity Analysis</t>
  </si>
  <si>
    <t>The Base Case comes from the ROI Calculation tab. Best and Worst cases apply a savings-achievement rate — how much of the projected saving is actually realised in practice.</t>
  </si>
  <si>
    <t>Savings Achievement Rate (Input)</t>
  </si>
  <si>
    <t>Best Case</t>
  </si>
  <si>
    <t>Base Case</t>
  </si>
  <si>
    <t>Worst Case</t>
  </si>
  <si>
    <t>% of Projected Savings Achieved</t>
  </si>
  <si>
    <t>Resulting Figures</t>
  </si>
  <si>
    <t>Adjusted Annual Net Savings</t>
  </si>
  <si>
    <t>Adjusted Payback Period (months)</t>
  </si>
  <si>
    <t>Adjusted 3-Year ROI (%)</t>
  </si>
  <si>
    <t>Reading This Table</t>
  </si>
  <si>
    <t>Present the Base Case as your headline figure, but always know your Worst Case before presenting to a skeptical approver — a business case that only survives its best-case assumptions is not a robust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</si>
</sst>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$#,##0;&quot;($&quot;#,##0\);\-"/>
    <numFmt numFmtId="166" formatCode="0.0%"/>
  </numFmts>
  <fonts count="2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64748B"/>
      <name val="Arial"/>
      <charset val="1"/>
    </font>
    <font>
      <b/>
      <sz val="10.5"/>
      <color rgb="FFFFFFFF"/>
      <name val="Arial"/>
      <charset val="1"/>
    </font>
    <font>
      <sz val="9.3000000000000007"/>
      <color rgb="FF2D3748"/>
      <name val="Arial"/>
      <charset val="1"/>
    </font>
    <font>
      <b/>
      <sz val="9.3000000000000007"/>
      <color rgb="FF0000FF"/>
      <name val="Arial"/>
      <charset val="1"/>
    </font>
    <font>
      <b/>
      <sz val="9.3000000000000007"/>
      <color rgb="FF008000"/>
      <name val="Arial"/>
      <charset val="1"/>
    </font>
    <font>
      <i/>
      <sz val="8.8000000000000007"/>
      <color rgb="FF64748B"/>
      <name val="Arial"/>
      <charset val="1"/>
    </font>
    <font>
      <sz val="9.5"/>
      <color rgb="FF2D3748"/>
      <name val="Arial"/>
      <charset val="1"/>
    </font>
    <font>
      <b/>
      <sz val="9.5"/>
      <color rgb="FF0000FF"/>
      <name val="Arial"/>
      <charset val="1"/>
    </font>
    <font>
      <i/>
      <sz val="8.3000000000000007"/>
      <color rgb="FF64748B"/>
      <name val="Arial"/>
      <charset val="1"/>
    </font>
    <font>
      <b/>
      <sz val="9.5"/>
      <color rgb="FF0D1B2A"/>
      <name val="Arial"/>
      <charset val="1"/>
    </font>
    <font>
      <b/>
      <sz val="9.5"/>
      <color rgb="FF2D3748"/>
      <name val="Arial"/>
      <charset val="1"/>
    </font>
    <font>
      <b/>
      <sz val="9.5"/>
      <color rgb="FF008000"/>
      <name val="Arial"/>
      <charset val="1"/>
    </font>
    <font>
      <b/>
      <sz val="10"/>
      <color rgb="FF0D1B2A"/>
      <name val="Arial"/>
      <charset val="1"/>
    </font>
    <font>
      <b/>
      <sz val="10"/>
      <color rgb="FF2D3748"/>
      <name val="Arial"/>
      <charset val="1"/>
    </font>
    <font>
      <b/>
      <sz val="9"/>
      <color rgb="FFFFFFFF"/>
      <name val="Arial"/>
      <charset val="1"/>
    </font>
    <font>
      <sz val="9.3000000000000007"/>
      <name val="Arial"/>
      <charset val="1"/>
    </font>
    <font>
      <b/>
      <sz val="9.3000000000000007"/>
      <name val="Arial"/>
      <charset val="1"/>
    </font>
    <font>
      <i/>
      <sz val="9.3000000000000007"/>
      <name val="Arial"/>
      <charset val="1"/>
    </font>
    <font>
      <i/>
      <sz val="9"/>
      <color rgb="FF2D3748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C07A2D"/>
        <bgColor rgb="FFFF6600"/>
      </patternFill>
    </fill>
    <fill>
      <patternFill patternType="solid">
        <fgColor rgb="FFFFFDE7"/>
        <bgColor rgb="FFFFFFFF"/>
      </patternFill>
    </fill>
    <fill>
      <patternFill patternType="solid">
        <fgColor rgb="FF1E6B4A"/>
        <bgColor rgb="FF008080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0" fillId="0" borderId="0" xfId="0" applyFont="1" applyAlignment="1">
      <alignment vertical="top" wrapText="1"/>
    </xf>
    <xf numFmtId="0" fontId="3" fillId="5" borderId="0" xfId="0" applyFont="1" applyFill="1" applyAlignment="1">
      <alignment vertical="center" indent="1"/>
    </xf>
    <xf numFmtId="0" fontId="7" fillId="0" borderId="0" xfId="0" applyFont="1"/>
    <xf numFmtId="0" fontId="4" fillId="0" borderId="0" xfId="0" applyFont="1" applyAlignment="1">
      <alignment vertical="top" wrapText="1" indent="1"/>
    </xf>
    <xf numFmtId="0" fontId="6" fillId="0" borderId="0" xfId="0" applyFont="1" applyAlignment="1">
      <alignment wrapText="1" indent="1"/>
    </xf>
    <xf numFmtId="0" fontId="5" fillId="0" borderId="0" xfId="0" applyFont="1" applyAlignment="1">
      <alignment wrapText="1" indent="1"/>
    </xf>
    <xf numFmtId="0" fontId="4" fillId="0" borderId="0" xfId="0" applyFont="1" applyAlignment="1">
      <alignment wrapText="1" indent="1"/>
    </xf>
    <xf numFmtId="0" fontId="3" fillId="3" borderId="0" xfId="0" applyFont="1" applyFill="1" applyAlignment="1">
      <alignment vertical="center" indent="1"/>
    </xf>
    <xf numFmtId="0" fontId="2" fillId="0" borderId="0" xfId="0" applyFont="1" applyAlignment="1">
      <alignment vertical="top" wrapText="1" indent="1"/>
    </xf>
    <xf numFmtId="0" fontId="1" fillId="2" borderId="0" xfId="0" applyFont="1" applyFill="1" applyAlignment="1">
      <alignment horizontal="left" vertical="center" indent="1"/>
    </xf>
    <xf numFmtId="0" fontId="8" fillId="0" borderId="0" xfId="0" applyFont="1"/>
    <xf numFmtId="164" fontId="9" fillId="4" borderId="1" xfId="0" applyNumberFormat="1" applyFont="1" applyFill="1" applyBorder="1"/>
    <xf numFmtId="0" fontId="10" fillId="0" borderId="0" xfId="0" applyFont="1"/>
    <xf numFmtId="165" fontId="9" fillId="4" borderId="1" xfId="0" applyNumberFormat="1" applyFont="1" applyFill="1" applyBorder="1"/>
    <xf numFmtId="1" fontId="9" fillId="4" borderId="1" xfId="0" applyNumberFormat="1" applyFont="1" applyFill="1" applyBorder="1"/>
    <xf numFmtId="0" fontId="11" fillId="0" borderId="0" xfId="0" applyFont="1"/>
    <xf numFmtId="165" fontId="12" fillId="0" borderId="1" xfId="0" applyNumberFormat="1" applyFont="1" applyBorder="1"/>
    <xf numFmtId="165" fontId="13" fillId="0" borderId="1" xfId="0" applyNumberFormat="1" applyFont="1" applyBorder="1"/>
    <xf numFmtId="1" fontId="13" fillId="0" borderId="1" xfId="0" applyNumberFormat="1" applyFont="1" applyBorder="1"/>
    <xf numFmtId="166" fontId="9" fillId="4" borderId="1" xfId="0" applyNumberFormat="1" applyFont="1" applyFill="1" applyBorder="1"/>
    <xf numFmtId="165" fontId="8" fillId="0" borderId="1" xfId="0" applyNumberFormat="1" applyFont="1" applyBorder="1"/>
    <xf numFmtId="0" fontId="14" fillId="0" borderId="0" xfId="0" applyFont="1"/>
    <xf numFmtId="165" fontId="15" fillId="0" borderId="1" xfId="0" applyNumberFormat="1" applyFont="1" applyBorder="1"/>
    <xf numFmtId="164" fontId="15" fillId="0" borderId="1" xfId="0" applyNumberFormat="1" applyFont="1" applyBorder="1"/>
    <xf numFmtId="0" fontId="16" fillId="2" borderId="1" xfId="0" applyFont="1" applyFill="1" applyBorder="1" applyAlignment="1">
      <alignment horizontal="center"/>
    </xf>
    <xf numFmtId="0" fontId="17" fillId="0" borderId="0" xfId="0" applyFont="1"/>
    <xf numFmtId="165" fontId="17" fillId="0" borderId="1" xfId="0" applyNumberFormat="1" applyFont="1" applyBorder="1"/>
    <xf numFmtId="0" fontId="18" fillId="0" borderId="0" xfId="0" applyFont="1"/>
    <xf numFmtId="165" fontId="18" fillId="0" borderId="1" xfId="0" applyNumberFormat="1" applyFont="1" applyBorder="1"/>
    <xf numFmtId="0" fontId="19" fillId="0" borderId="0" xfId="0" applyFont="1"/>
    <xf numFmtId="165" fontId="19" fillId="0" borderId="1" xfId="0" applyNumberFormat="1" applyFont="1" applyBorder="1"/>
    <xf numFmtId="166" fontId="15" fillId="0" borderId="1" xfId="0" applyNumberFormat="1" applyFont="1" applyBorder="1"/>
    <xf numFmtId="166" fontId="5" fillId="4" borderId="1" xfId="0" applyNumberFormat="1" applyFont="1" applyFill="1" applyBorder="1"/>
    <xf numFmtId="164" fontId="17" fillId="0" borderId="1" xfId="0" applyNumberFormat="1" applyFont="1" applyBorder="1"/>
    <xf numFmtId="166" fontId="1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7A2D"/>
      <rgbColor rgb="FF800080"/>
      <rgbColor rgb="FF1E6B4A"/>
      <rgbColor rgb="FFC0C0C0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100" customWidth="1"/>
    <col min="2" max="8" width="4" customWidth="1"/>
  </cols>
  <sheetData>
    <row r="1" spans="1:8" ht="18" x14ac:dyDescent="0.25">
      <c r="A1" s="10" t="s">
        <v>0</v>
      </c>
      <c r="B1" s="10"/>
      <c r="C1" s="10"/>
      <c r="D1" s="10"/>
      <c r="E1" s="10"/>
      <c r="F1" s="10"/>
      <c r="G1" s="10"/>
      <c r="H1" s="10"/>
    </row>
    <row r="2" spans="1:8" ht="15" customHeight="1" x14ac:dyDescent="0.25">
      <c r="A2" s="9" t="s">
        <v>1</v>
      </c>
      <c r="B2" s="9"/>
      <c r="C2" s="9"/>
      <c r="D2" s="9"/>
      <c r="E2" s="9"/>
      <c r="F2" s="9"/>
      <c r="G2" s="9"/>
      <c r="H2" s="9"/>
    </row>
    <row r="4" spans="1:8" x14ac:dyDescent="0.25">
      <c r="A4" s="8" t="s">
        <v>2</v>
      </c>
      <c r="B4" s="8"/>
      <c r="C4" s="8"/>
      <c r="D4" s="8"/>
      <c r="E4" s="8"/>
      <c r="F4" s="8"/>
      <c r="G4" s="8"/>
      <c r="H4" s="8"/>
    </row>
    <row r="5" spans="1:8" ht="15" customHeight="1" x14ac:dyDescent="0.25">
      <c r="A5" s="7" t="s">
        <v>3</v>
      </c>
      <c r="B5" s="7"/>
      <c r="C5" s="7"/>
      <c r="D5" s="7"/>
      <c r="E5" s="7"/>
      <c r="F5" s="7"/>
      <c r="G5" s="7"/>
      <c r="H5" s="7"/>
    </row>
    <row r="6" spans="1:8" ht="15" customHeight="1" x14ac:dyDescent="0.25">
      <c r="A6" s="7" t="s">
        <v>4</v>
      </c>
      <c r="B6" s="7"/>
      <c r="C6" s="7"/>
      <c r="D6" s="7"/>
      <c r="E6" s="7"/>
      <c r="F6" s="7"/>
      <c r="G6" s="7"/>
      <c r="H6" s="7"/>
    </row>
    <row r="7" spans="1:8" ht="15" customHeight="1" x14ac:dyDescent="0.25">
      <c r="A7" s="7" t="s">
        <v>5</v>
      </c>
      <c r="B7" s="7"/>
      <c r="C7" s="7"/>
      <c r="D7" s="7"/>
      <c r="E7" s="7"/>
      <c r="F7" s="7"/>
      <c r="G7" s="7"/>
      <c r="H7" s="7"/>
    </row>
    <row r="8" spans="1:8" ht="15" customHeight="1" x14ac:dyDescent="0.25">
      <c r="A8" s="7" t="s">
        <v>6</v>
      </c>
      <c r="B8" s="7"/>
      <c r="C8" s="7"/>
      <c r="D8" s="7"/>
      <c r="E8" s="7"/>
      <c r="F8" s="7"/>
      <c r="G8" s="7"/>
      <c r="H8" s="7"/>
    </row>
    <row r="10" spans="1:8" x14ac:dyDescent="0.25">
      <c r="A10" s="8" t="s">
        <v>7</v>
      </c>
      <c r="B10" s="8"/>
      <c r="C10" s="8"/>
      <c r="D10" s="8"/>
      <c r="E10" s="8"/>
      <c r="F10" s="8"/>
      <c r="G10" s="8"/>
      <c r="H10" s="8"/>
    </row>
    <row r="11" spans="1:8" ht="15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15" customHeight="1" x14ac:dyDescent="0.25">
      <c r="A12" s="7" t="s">
        <v>9</v>
      </c>
      <c r="B12" s="7"/>
      <c r="C12" s="7"/>
      <c r="D12" s="7"/>
      <c r="E12" s="7"/>
      <c r="F12" s="7"/>
      <c r="G12" s="7"/>
      <c r="H12" s="7"/>
    </row>
    <row r="13" spans="1:8" ht="15" customHeight="1" x14ac:dyDescent="0.25">
      <c r="A13" s="5" t="s">
        <v>10</v>
      </c>
      <c r="B13" s="5"/>
      <c r="C13" s="5"/>
      <c r="D13" s="5"/>
      <c r="E13" s="5"/>
      <c r="F13" s="5"/>
      <c r="G13" s="5"/>
      <c r="H13" s="5"/>
    </row>
    <row r="15" spans="1:8" x14ac:dyDescent="0.25">
      <c r="A15" s="8" t="s">
        <v>11</v>
      </c>
      <c r="B15" s="8"/>
      <c r="C15" s="8"/>
      <c r="D15" s="8"/>
      <c r="E15" s="8"/>
      <c r="F15" s="8"/>
      <c r="G15" s="8"/>
      <c r="H15" s="8"/>
    </row>
    <row r="16" spans="1:8" ht="15" customHeight="1" x14ac:dyDescent="0.25">
      <c r="A16" s="4" t="s">
        <v>12</v>
      </c>
      <c r="B16" s="4"/>
      <c r="C16" s="4"/>
      <c r="D16" s="4"/>
      <c r="E16" s="4"/>
      <c r="F16" s="4"/>
      <c r="G16" s="4"/>
      <c r="H16" s="4"/>
    </row>
    <row r="17" spans="1:8" ht="15" customHeight="1" x14ac:dyDescent="0.25">
      <c r="A17" s="4" t="s">
        <v>13</v>
      </c>
      <c r="B17" s="4"/>
      <c r="C17" s="4"/>
      <c r="D17" s="4"/>
      <c r="E17" s="4"/>
      <c r="F17" s="4"/>
      <c r="G17" s="4"/>
      <c r="H17" s="4"/>
    </row>
    <row r="18" spans="1:8" ht="15" customHeight="1" x14ac:dyDescent="0.25">
      <c r="A18" s="4" t="s">
        <v>14</v>
      </c>
      <c r="B18" s="4"/>
      <c r="C18" s="4"/>
      <c r="D18" s="4"/>
      <c r="E18" s="4"/>
      <c r="F18" s="4"/>
      <c r="G18" s="4"/>
      <c r="H18" s="4"/>
    </row>
    <row r="19" spans="1:8" ht="15" customHeight="1" x14ac:dyDescent="0.25">
      <c r="A19" s="4" t="s">
        <v>15</v>
      </c>
      <c r="B19" s="4"/>
      <c r="C19" s="4"/>
      <c r="D19" s="4"/>
      <c r="E19" s="4"/>
      <c r="F19" s="4"/>
      <c r="G19" s="4"/>
      <c r="H19" s="4"/>
    </row>
    <row r="20" spans="1:8" ht="15" customHeight="1" x14ac:dyDescent="0.25">
      <c r="A20" s="4" t="s">
        <v>16</v>
      </c>
      <c r="B20" s="4"/>
      <c r="C20" s="4"/>
      <c r="D20" s="4"/>
      <c r="E20" s="4"/>
      <c r="F20" s="4"/>
      <c r="G20" s="4"/>
      <c r="H20" s="4"/>
    </row>
    <row r="22" spans="1:8" x14ac:dyDescent="0.25">
      <c r="A22" s="8" t="s">
        <v>17</v>
      </c>
      <c r="B22" s="8"/>
      <c r="C22" s="8"/>
      <c r="D22" s="8"/>
      <c r="E22" s="8"/>
      <c r="F22" s="8"/>
      <c r="G22" s="8"/>
      <c r="H22" s="8"/>
    </row>
    <row r="23" spans="1:8" ht="22.35" customHeight="1" x14ac:dyDescent="0.25">
      <c r="A23" s="4" t="s">
        <v>18</v>
      </c>
      <c r="B23" s="4"/>
      <c r="C23" s="4"/>
      <c r="D23" s="4"/>
      <c r="E23" s="4"/>
      <c r="F23" s="4"/>
      <c r="G23" s="4"/>
      <c r="H23" s="4"/>
    </row>
    <row r="25" spans="1:8" ht="15" customHeight="1" x14ac:dyDescent="0.25">
      <c r="A25" s="4" t="s">
        <v>19</v>
      </c>
      <c r="B25" s="4"/>
      <c r="C25" s="4"/>
      <c r="D25" s="4"/>
      <c r="E25" s="4"/>
      <c r="F25" s="4"/>
      <c r="G25" s="4"/>
      <c r="H25" s="4"/>
    </row>
  </sheetData>
  <mergeCells count="20">
    <mergeCell ref="A19:H19"/>
    <mergeCell ref="A20:H20"/>
    <mergeCell ref="A22:H22"/>
    <mergeCell ref="A23:H23"/>
    <mergeCell ref="A25:H25"/>
    <mergeCell ref="A13:H13"/>
    <mergeCell ref="A15:H15"/>
    <mergeCell ref="A16:H16"/>
    <mergeCell ref="A17:H17"/>
    <mergeCell ref="A18:H18"/>
    <mergeCell ref="A7:H7"/>
    <mergeCell ref="A8:H8"/>
    <mergeCell ref="A10:H10"/>
    <mergeCell ref="A11:H11"/>
    <mergeCell ref="A12:H12"/>
    <mergeCell ref="A1:H1"/>
    <mergeCell ref="A2:H2"/>
    <mergeCell ref="A4:H4"/>
    <mergeCell ref="A5:H5"/>
    <mergeCell ref="A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showGridLines="0" zoomScaleNormal="100" workbookViewId="0"/>
  </sheetViews>
  <sheetFormatPr defaultColWidth="8.7109375" defaultRowHeight="15" x14ac:dyDescent="0.25"/>
  <cols>
    <col min="1" max="1" width="42" customWidth="1"/>
    <col min="2" max="2" width="16" customWidth="1"/>
    <col min="3" max="3" width="38" customWidth="1"/>
  </cols>
  <sheetData>
    <row r="1" spans="1:3" ht="18" x14ac:dyDescent="0.25">
      <c r="A1" s="10" t="s">
        <v>20</v>
      </c>
      <c r="B1" s="10"/>
      <c r="C1" s="10"/>
    </row>
    <row r="2" spans="1:3" x14ac:dyDescent="0.25">
      <c r="A2" s="3" t="s">
        <v>21</v>
      </c>
      <c r="B2" s="3"/>
      <c r="C2" s="3"/>
    </row>
    <row r="4" spans="1:3" x14ac:dyDescent="0.25">
      <c r="A4" s="8" t="s">
        <v>22</v>
      </c>
      <c r="B4" s="8"/>
      <c r="C4" s="8"/>
    </row>
    <row r="5" spans="1:3" x14ac:dyDescent="0.25">
      <c r="A5" s="11" t="s">
        <v>23</v>
      </c>
      <c r="B5" s="12">
        <v>8</v>
      </c>
      <c r="C5" s="13" t="s">
        <v>24</v>
      </c>
    </row>
    <row r="6" spans="1:3" x14ac:dyDescent="0.25">
      <c r="A6" s="11" t="s">
        <v>25</v>
      </c>
      <c r="B6" s="14">
        <v>55</v>
      </c>
      <c r="C6" s="13" t="s">
        <v>26</v>
      </c>
    </row>
    <row r="7" spans="1:3" x14ac:dyDescent="0.25">
      <c r="A7" s="11" t="s">
        <v>27</v>
      </c>
      <c r="B7" s="15">
        <v>48</v>
      </c>
      <c r="C7" s="13" t="s">
        <v>28</v>
      </c>
    </row>
    <row r="8" spans="1:3" x14ac:dyDescent="0.25">
      <c r="A8" s="16" t="s">
        <v>29</v>
      </c>
      <c r="B8" s="17">
        <f>B5*B6*B7</f>
        <v>21120</v>
      </c>
    </row>
    <row r="10" spans="1:3" x14ac:dyDescent="0.25">
      <c r="A10" s="8" t="s">
        <v>30</v>
      </c>
      <c r="B10" s="8"/>
      <c r="C10" s="8"/>
    </row>
    <row r="11" spans="1:3" x14ac:dyDescent="0.25">
      <c r="A11" s="11" t="s">
        <v>31</v>
      </c>
      <c r="B11" s="14">
        <v>8000</v>
      </c>
      <c r="C11" s="13" t="s">
        <v>32</v>
      </c>
    </row>
    <row r="12" spans="1:3" x14ac:dyDescent="0.25">
      <c r="A12" s="11" t="s">
        <v>33</v>
      </c>
      <c r="B12" s="14">
        <v>5000</v>
      </c>
      <c r="C12" s="13" t="s">
        <v>34</v>
      </c>
    </row>
    <row r="14" spans="1:3" x14ac:dyDescent="0.25">
      <c r="A14" s="8" t="s">
        <v>35</v>
      </c>
      <c r="B14" s="8"/>
      <c r="C14" s="8"/>
    </row>
    <row r="15" spans="1:3" x14ac:dyDescent="0.25">
      <c r="A15" s="16" t="s">
        <v>36</v>
      </c>
      <c r="B15" s="17">
        <f>B8+B11+B12</f>
        <v>34120</v>
      </c>
    </row>
  </sheetData>
  <mergeCells count="5">
    <mergeCell ref="A1:C1"/>
    <mergeCell ref="A2:C2"/>
    <mergeCell ref="A4:C4"/>
    <mergeCell ref="A10:C10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showGridLines="0" zoomScaleNormal="100" workbookViewId="0"/>
  </sheetViews>
  <sheetFormatPr defaultColWidth="8.7109375" defaultRowHeight="15" x14ac:dyDescent="0.25"/>
  <cols>
    <col min="1" max="1" width="42" customWidth="1"/>
    <col min="2" max="2" width="16" customWidth="1"/>
    <col min="3" max="3" width="38" customWidth="1"/>
  </cols>
  <sheetData>
    <row r="1" spans="1:3" ht="18" x14ac:dyDescent="0.25">
      <c r="A1" s="10" t="s">
        <v>37</v>
      </c>
      <c r="B1" s="10"/>
      <c r="C1" s="10"/>
    </row>
    <row r="2" spans="1:3" x14ac:dyDescent="0.25">
      <c r="A2" s="3" t="s">
        <v>38</v>
      </c>
      <c r="B2" s="3"/>
      <c r="C2" s="3"/>
    </row>
    <row r="4" spans="1:3" x14ac:dyDescent="0.25">
      <c r="A4" s="8" t="s">
        <v>39</v>
      </c>
      <c r="B4" s="8"/>
      <c r="C4" s="8"/>
    </row>
    <row r="5" spans="1:3" x14ac:dyDescent="0.25">
      <c r="A5" s="11" t="s">
        <v>40</v>
      </c>
      <c r="B5" s="14">
        <v>6000</v>
      </c>
      <c r="C5" s="13" t="s">
        <v>41</v>
      </c>
    </row>
    <row r="6" spans="1:3" x14ac:dyDescent="0.25">
      <c r="A6" s="11" t="s">
        <v>42</v>
      </c>
      <c r="B6" s="14">
        <v>8000</v>
      </c>
      <c r="C6" s="13" t="s">
        <v>43</v>
      </c>
    </row>
    <row r="7" spans="1:3" x14ac:dyDescent="0.25">
      <c r="A7" s="11" t="s">
        <v>44</v>
      </c>
      <c r="B7" s="14">
        <v>3000</v>
      </c>
      <c r="C7" s="13" t="s">
        <v>45</v>
      </c>
    </row>
    <row r="8" spans="1:3" x14ac:dyDescent="0.25">
      <c r="A8" s="16" t="s">
        <v>46</v>
      </c>
      <c r="B8" s="17">
        <f>B5+B6+B7</f>
        <v>17000</v>
      </c>
    </row>
    <row r="10" spans="1:3" x14ac:dyDescent="0.25">
      <c r="A10" s="8" t="s">
        <v>47</v>
      </c>
      <c r="B10" s="8"/>
      <c r="C10" s="8"/>
    </row>
    <row r="11" spans="1:3" x14ac:dyDescent="0.25">
      <c r="A11" s="11" t="s">
        <v>48</v>
      </c>
      <c r="B11" s="14">
        <v>6000</v>
      </c>
    </row>
    <row r="12" spans="1:3" x14ac:dyDescent="0.25">
      <c r="A12" s="11" t="s">
        <v>49</v>
      </c>
      <c r="B12" s="14">
        <v>2400</v>
      </c>
      <c r="C12" s="13" t="s">
        <v>50</v>
      </c>
    </row>
    <row r="13" spans="1:3" x14ac:dyDescent="0.25">
      <c r="A13" s="16" t="s">
        <v>51</v>
      </c>
      <c r="B13" s="17">
        <f>B11+B12</f>
        <v>8400</v>
      </c>
    </row>
    <row r="15" spans="1:3" x14ac:dyDescent="0.25">
      <c r="A15" s="8" t="s">
        <v>52</v>
      </c>
      <c r="B15" s="8"/>
      <c r="C15" s="8"/>
    </row>
    <row r="16" spans="1:3" x14ac:dyDescent="0.25">
      <c r="A16" s="11" t="s">
        <v>53</v>
      </c>
      <c r="B16" s="12">
        <v>2</v>
      </c>
      <c r="C16" s="13" t="s">
        <v>54</v>
      </c>
    </row>
    <row r="17" spans="1:2" x14ac:dyDescent="0.25">
      <c r="A17" s="11" t="s">
        <v>55</v>
      </c>
      <c r="B17" s="18">
        <f>'Current State Costs'!B6</f>
        <v>55</v>
      </c>
    </row>
    <row r="18" spans="1:2" x14ac:dyDescent="0.25">
      <c r="A18" s="11" t="s">
        <v>56</v>
      </c>
      <c r="B18" s="19">
        <f>'Current State Costs'!B7</f>
        <v>48</v>
      </c>
    </row>
    <row r="19" spans="1:2" x14ac:dyDescent="0.25">
      <c r="A19" s="16" t="s">
        <v>57</v>
      </c>
      <c r="B19" s="17">
        <f>B16*B17*B18</f>
        <v>5280</v>
      </c>
    </row>
  </sheetData>
  <mergeCells count="5">
    <mergeCell ref="A1:C1"/>
    <mergeCell ref="A2:C2"/>
    <mergeCell ref="A4:C4"/>
    <mergeCell ref="A10:C10"/>
    <mergeCell ref="A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42" customWidth="1"/>
    <col min="2" max="5" width="16" customWidth="1"/>
  </cols>
  <sheetData>
    <row r="1" spans="1:5" ht="18" x14ac:dyDescent="0.25">
      <c r="A1" s="10" t="s">
        <v>58</v>
      </c>
      <c r="B1" s="10"/>
      <c r="C1" s="10"/>
      <c r="D1" s="10"/>
      <c r="E1" s="10"/>
    </row>
    <row r="2" spans="1:5" x14ac:dyDescent="0.25">
      <c r="A2" s="3" t="s">
        <v>59</v>
      </c>
      <c r="B2" s="3"/>
      <c r="C2" s="3"/>
      <c r="D2" s="3"/>
      <c r="E2" s="3"/>
    </row>
    <row r="4" spans="1:5" x14ac:dyDescent="0.25">
      <c r="A4" s="8" t="s">
        <v>60</v>
      </c>
      <c r="B4" s="8"/>
      <c r="C4" s="8"/>
      <c r="D4" s="8"/>
      <c r="E4" s="8"/>
    </row>
    <row r="5" spans="1:5" x14ac:dyDescent="0.25">
      <c r="A5" s="11" t="s">
        <v>61</v>
      </c>
      <c r="B5" s="18">
        <f>'Current State Costs'!B15</f>
        <v>34120</v>
      </c>
    </row>
    <row r="6" spans="1:5" x14ac:dyDescent="0.25">
      <c r="A6" s="11" t="s">
        <v>62</v>
      </c>
      <c r="B6" s="18">
        <f>'Proposed Solution Costs'!B8</f>
        <v>17000</v>
      </c>
    </row>
    <row r="7" spans="1:5" x14ac:dyDescent="0.25">
      <c r="A7" s="11" t="s">
        <v>63</v>
      </c>
      <c r="B7" s="18">
        <f>'Proposed Solution Costs'!B13</f>
        <v>8400</v>
      </c>
    </row>
    <row r="8" spans="1:5" x14ac:dyDescent="0.25">
      <c r="A8" s="11" t="s">
        <v>64</v>
      </c>
      <c r="B8" s="18">
        <f>'Proposed Solution Costs'!B19</f>
        <v>5280</v>
      </c>
    </row>
    <row r="9" spans="1:5" x14ac:dyDescent="0.25">
      <c r="A9" s="11" t="s">
        <v>65</v>
      </c>
      <c r="B9" s="20">
        <v>0.08</v>
      </c>
    </row>
    <row r="11" spans="1:5" x14ac:dyDescent="0.25">
      <c r="A11" s="8" t="s">
        <v>66</v>
      </c>
      <c r="B11" s="8"/>
      <c r="C11" s="8"/>
      <c r="D11" s="8"/>
      <c r="E11" s="8"/>
    </row>
    <row r="12" spans="1:5" x14ac:dyDescent="0.25">
      <c r="A12" s="11" t="s">
        <v>67</v>
      </c>
      <c r="B12" s="21">
        <f>B7+B8</f>
        <v>13680</v>
      </c>
    </row>
    <row r="13" spans="1:5" x14ac:dyDescent="0.25">
      <c r="A13" s="22" t="s">
        <v>68</v>
      </c>
      <c r="B13" s="23">
        <f>B5-B12</f>
        <v>20440</v>
      </c>
    </row>
    <row r="15" spans="1:5" x14ac:dyDescent="0.25">
      <c r="A15" s="8" t="s">
        <v>69</v>
      </c>
      <c r="B15" s="8"/>
      <c r="C15" s="8"/>
      <c r="D15" s="8"/>
      <c r="E15" s="8"/>
    </row>
    <row r="16" spans="1:5" x14ac:dyDescent="0.25">
      <c r="A16" s="22" t="s">
        <v>70</v>
      </c>
      <c r="B16" s="24">
        <f>B6/(B13/12)</f>
        <v>9.9804305283757344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B19" s="25" t="s">
        <v>72</v>
      </c>
      <c r="C19" s="25" t="s">
        <v>73</v>
      </c>
      <c r="D19" s="25" t="s">
        <v>74</v>
      </c>
    </row>
    <row r="20" spans="1:5" x14ac:dyDescent="0.25">
      <c r="A20" s="26" t="s">
        <v>75</v>
      </c>
      <c r="B20" s="27">
        <f>B6+B12</f>
        <v>30680</v>
      </c>
      <c r="C20" s="27">
        <f>B12</f>
        <v>13680</v>
      </c>
      <c r="D20" s="27">
        <f>B12</f>
        <v>13680</v>
      </c>
    </row>
    <row r="21" spans="1:5" x14ac:dyDescent="0.25">
      <c r="A21" s="26" t="s">
        <v>76</v>
      </c>
      <c r="B21" s="27">
        <f>B5</f>
        <v>34120</v>
      </c>
      <c r="C21" s="27">
        <f>B5</f>
        <v>34120</v>
      </c>
      <c r="D21" s="27">
        <f>B5</f>
        <v>34120</v>
      </c>
    </row>
    <row r="22" spans="1:5" x14ac:dyDescent="0.25">
      <c r="A22" s="28" t="s">
        <v>77</v>
      </c>
      <c r="B22" s="29">
        <f>B21-B20</f>
        <v>3440</v>
      </c>
      <c r="C22" s="29">
        <f>C21-C20</f>
        <v>20440</v>
      </c>
      <c r="D22" s="29">
        <f>D21-D20</f>
        <v>20440</v>
      </c>
    </row>
    <row r="23" spans="1:5" x14ac:dyDescent="0.25">
      <c r="A23" s="30" t="s">
        <v>78</v>
      </c>
      <c r="B23" s="31">
        <f>B22</f>
        <v>3440</v>
      </c>
      <c r="C23" s="31">
        <f>B23+C22</f>
        <v>23880</v>
      </c>
      <c r="D23" s="31">
        <f>C23+D22</f>
        <v>44320</v>
      </c>
    </row>
    <row r="25" spans="1:5" x14ac:dyDescent="0.25">
      <c r="A25" s="8" t="s">
        <v>79</v>
      </c>
      <c r="B25" s="8"/>
      <c r="C25" s="8"/>
      <c r="D25" s="8"/>
      <c r="E25" s="8"/>
    </row>
    <row r="26" spans="1:5" x14ac:dyDescent="0.25">
      <c r="A26" s="22" t="s">
        <v>80</v>
      </c>
      <c r="B26" s="32">
        <f>SUM(B22:D22)/SUM(B20:D20)</f>
        <v>0.76361130254996556</v>
      </c>
    </row>
    <row r="27" spans="1:5" x14ac:dyDescent="0.25">
      <c r="A27" s="22" t="s">
        <v>81</v>
      </c>
      <c r="B27" s="23">
        <f>NPV(B9,B22:D22)</f>
        <v>36935.121678605901</v>
      </c>
    </row>
  </sheetData>
  <mergeCells count="7">
    <mergeCell ref="A18:E18"/>
    <mergeCell ref="A25:E25"/>
    <mergeCell ref="A1:E1"/>
    <mergeCell ref="A2:E2"/>
    <mergeCell ref="A4:E4"/>
    <mergeCell ref="A11:E11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34" customWidth="1"/>
    <col min="2" max="4" width="18" customWidth="1"/>
  </cols>
  <sheetData>
    <row r="1" spans="1:4" ht="18" x14ac:dyDescent="0.25">
      <c r="A1" s="10" t="s">
        <v>82</v>
      </c>
      <c r="B1" s="10"/>
      <c r="C1" s="10"/>
      <c r="D1" s="10"/>
    </row>
    <row r="2" spans="1:4" x14ac:dyDescent="0.25">
      <c r="A2" s="3" t="s">
        <v>83</v>
      </c>
      <c r="B2" s="3"/>
      <c r="C2" s="3"/>
      <c r="D2" s="3"/>
    </row>
    <row r="4" spans="1:4" x14ac:dyDescent="0.25">
      <c r="A4" s="8" t="s">
        <v>84</v>
      </c>
      <c r="B4" s="8"/>
      <c r="C4" s="8"/>
      <c r="D4" s="8"/>
    </row>
    <row r="5" spans="1:4" x14ac:dyDescent="0.25">
      <c r="B5" s="25" t="s">
        <v>85</v>
      </c>
      <c r="C5" s="25" t="s">
        <v>86</v>
      </c>
      <c r="D5" s="25" t="s">
        <v>87</v>
      </c>
    </row>
    <row r="6" spans="1:4" x14ac:dyDescent="0.25">
      <c r="A6" s="26" t="s">
        <v>88</v>
      </c>
      <c r="B6" s="33">
        <v>1.1000000000000001</v>
      </c>
      <c r="C6" s="33">
        <v>1</v>
      </c>
      <c r="D6" s="33">
        <v>0.7</v>
      </c>
    </row>
    <row r="8" spans="1:4" x14ac:dyDescent="0.25">
      <c r="A8" s="8" t="s">
        <v>89</v>
      </c>
      <c r="B8" s="8"/>
      <c r="C8" s="8"/>
      <c r="D8" s="8"/>
    </row>
    <row r="9" spans="1:4" x14ac:dyDescent="0.25">
      <c r="B9" s="25" t="s">
        <v>85</v>
      </c>
      <c r="C9" s="25" t="s">
        <v>86</v>
      </c>
      <c r="D9" s="25" t="s">
        <v>87</v>
      </c>
    </row>
    <row r="10" spans="1:4" x14ac:dyDescent="0.25">
      <c r="A10" s="26" t="s">
        <v>90</v>
      </c>
      <c r="B10" s="27">
        <f>'ROI Calculation'!$B$13*B6</f>
        <v>22484</v>
      </c>
      <c r="C10" s="27">
        <f>'ROI Calculation'!$B$13*C6</f>
        <v>20440</v>
      </c>
      <c r="D10" s="27">
        <f>'ROI Calculation'!$B$13*D6</f>
        <v>14308</v>
      </c>
    </row>
    <row r="11" spans="1:4" x14ac:dyDescent="0.25">
      <c r="A11" s="26" t="s">
        <v>91</v>
      </c>
      <c r="B11" s="34">
        <f>'ROI Calculation'!$B$6/(B10/12)</f>
        <v>9.0731186621597573</v>
      </c>
      <c r="C11" s="34">
        <f>'ROI Calculation'!$B$6/(C10/12)</f>
        <v>9.9804305283757344</v>
      </c>
      <c r="D11" s="34">
        <f>'ROI Calculation'!$B$6/(D10/12)</f>
        <v>14.257757897679621</v>
      </c>
    </row>
    <row r="12" spans="1:4" x14ac:dyDescent="0.25">
      <c r="A12" s="28" t="s">
        <v>92</v>
      </c>
      <c r="B12" s="35">
        <f>(3*B10-'ROI Calculation'!$B$6)/(('ROI Calculation'!$B$6+'ROI Calculation'!$C$20)+'ROI Calculation'!$C$20*2)</f>
        <v>0.86926257753273606</v>
      </c>
      <c r="C12" s="35">
        <f>(3*C10-'ROI Calculation'!$B$6)/(('ROI Calculation'!$B$6+'ROI Calculation'!$C$20)+'ROI Calculation'!$C$20*2)</f>
        <v>0.76361130254996556</v>
      </c>
      <c r="D12" s="35">
        <f>(3*D10-'ROI Calculation'!$B$6)/(('ROI Calculation'!$B$6+'ROI Calculation'!$C$20)+'ROI Calculation'!$C$20*2)</f>
        <v>0.44665747760165403</v>
      </c>
    </row>
    <row r="14" spans="1:4" x14ac:dyDescent="0.25">
      <c r="A14" s="2" t="s">
        <v>93</v>
      </c>
      <c r="B14" s="2"/>
      <c r="C14" s="2"/>
      <c r="D14" s="2"/>
    </row>
    <row r="15" spans="1:4" ht="31.5" customHeight="1" x14ac:dyDescent="0.25">
      <c r="A15" s="1" t="s">
        <v>94</v>
      </c>
      <c r="B15" s="1"/>
      <c r="C15" s="1"/>
      <c r="D15" s="1"/>
    </row>
  </sheetData>
  <mergeCells count="6">
    <mergeCell ref="A15:D15"/>
    <mergeCell ref="A1:D1"/>
    <mergeCell ref="A2:D2"/>
    <mergeCell ref="A4:D4"/>
    <mergeCell ref="A8:D8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Current State Costs</vt:lpstr>
      <vt:lpstr>Proposed Solution Costs</vt:lpstr>
      <vt:lpstr>ROI Calculation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midragul</cp:lastModifiedBy>
  <cp:revision>0</cp:revision>
  <dcterms:created xsi:type="dcterms:W3CDTF">2026-08-22T12:11:13Z</dcterms:created>
  <dcterms:modified xsi:type="dcterms:W3CDTF">2026-08-22T12:17:45Z</dcterms:modified>
  <dc:language>en-US</dc:language>
</cp:coreProperties>
</file>