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ragu\Documents\GitHub\mirela-website\mirela-frontend\public\downloads\"/>
    </mc:Choice>
  </mc:AlternateContent>
  <xr:revisionPtr revIDLastSave="0" documentId="8_{0231D67B-B62C-4EBF-A056-A28BEBC367A4}" xr6:coauthVersionLast="47" xr6:coauthVersionMax="47" xr10:uidLastSave="{00000000-0000-0000-0000-000000000000}"/>
  <bookViews>
    <workbookView xWindow="-120" yWindow="-120" windowWidth="29040" windowHeight="15720" tabRatio="500" xr2:uid="{00000000-000D-0000-FFFF-FFFF00000000}"/>
  </bookViews>
  <sheets>
    <sheet name="Instructions" sheetId="1" r:id="rId1"/>
    <sheet name="Scenario Inputs" sheetId="2" r:id="rId2"/>
    <sheet name="13-Week Cash Flow" sheetId="3" r:id="rId3"/>
    <sheet name="Anomaly Detection" sheetId="4" r:id="rId4"/>
    <sheet name="Live Data Connection Guide" sheetId="5" r:id="rId5"/>
    <sheet name="AI Commentary Prompts" sheetId="6" r:id="rId6"/>
  </sheets>
  <definedNames>
    <definedName name="_xlnm.Print_Titles" localSheetId="2">'13-Week Cash Flow'!$A:$A</definedName>
    <definedName name="_xlnm.Print_Titles" localSheetId="3">'Anomaly Detection'!$1:$4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 i="4" l="1"/>
  <c r="B5" i="4"/>
  <c r="A5" i="4"/>
  <c r="J44" i="3"/>
  <c r="D13" i="4" s="1"/>
  <c r="I44" i="3"/>
  <c r="D12" i="4" s="1"/>
  <c r="B44" i="3"/>
  <c r="D5" i="4" s="1"/>
  <c r="B35" i="3"/>
  <c r="B32" i="3"/>
  <c r="B30" i="3"/>
  <c r="C30" i="3" s="1"/>
  <c r="B25" i="3"/>
  <c r="B22" i="3"/>
  <c r="B23" i="3" s="1"/>
  <c r="B19" i="3"/>
  <c r="C16" i="3"/>
  <c r="D16" i="3" s="1"/>
  <c r="B15" i="3"/>
  <c r="C15" i="3" s="1"/>
  <c r="B12" i="3"/>
  <c r="M44" i="3" s="1"/>
  <c r="D16" i="4" s="1"/>
  <c r="B11" i="3"/>
  <c r="C35" i="3" s="1"/>
  <c r="D35" i="3" s="1"/>
  <c r="E35" i="3" s="1"/>
  <c r="F35" i="3" s="1"/>
  <c r="G35" i="3" s="1"/>
  <c r="H35" i="3" s="1"/>
  <c r="I35" i="3" s="1"/>
  <c r="J35" i="3" s="1"/>
  <c r="K35" i="3" s="1"/>
  <c r="L35" i="3" s="1"/>
  <c r="M35" i="3" s="1"/>
  <c r="N35" i="3" s="1"/>
  <c r="B10" i="3"/>
  <c r="C32" i="3" s="1"/>
  <c r="B9" i="3"/>
  <c r="B8" i="3"/>
  <c r="D25" i="3" s="1"/>
  <c r="B7" i="3"/>
  <c r="B24" i="3" s="1"/>
  <c r="B6" i="3"/>
  <c r="B5" i="3"/>
  <c r="C22" i="3" s="1"/>
  <c r="D17" i="2"/>
  <c r="C17" i="2"/>
  <c r="B17" i="2"/>
  <c r="E25" i="3" l="1"/>
  <c r="D22" i="3"/>
  <c r="C23" i="3"/>
  <c r="D32" i="3"/>
  <c r="D24" i="3"/>
  <c r="E16" i="3"/>
  <c r="A7" i="4"/>
  <c r="B27" i="3"/>
  <c r="B40" i="3" s="1"/>
  <c r="B41" i="3" s="1"/>
  <c r="D15" i="3"/>
  <c r="B6" i="4"/>
  <c r="C37" i="3"/>
  <c r="D30" i="3"/>
  <c r="C24" i="3"/>
  <c r="F44" i="3"/>
  <c r="D9" i="4" s="1"/>
  <c r="N44" i="3"/>
  <c r="D17" i="4" s="1"/>
  <c r="G44" i="3"/>
  <c r="D10" i="4" s="1"/>
  <c r="H44" i="3"/>
  <c r="D11" i="4" s="1"/>
  <c r="C25" i="3"/>
  <c r="B37" i="3"/>
  <c r="C44" i="3"/>
  <c r="D6" i="4" s="1"/>
  <c r="K44" i="3"/>
  <c r="D14" i="4" s="1"/>
  <c r="D44" i="3"/>
  <c r="D7" i="4" s="1"/>
  <c r="L44" i="3"/>
  <c r="D15" i="4" s="1"/>
  <c r="E44" i="3"/>
  <c r="D8" i="4" s="1"/>
  <c r="C5" i="4" l="1"/>
  <c r="G5" i="4"/>
  <c r="B45" i="3"/>
  <c r="C19" i="3"/>
  <c r="C41" i="3" s="1"/>
  <c r="F16" i="3"/>
  <c r="A8" i="4"/>
  <c r="D37" i="3"/>
  <c r="E30" i="3"/>
  <c r="C27" i="3"/>
  <c r="C40" i="3" s="1"/>
  <c r="E32" i="3"/>
  <c r="D23" i="3"/>
  <c r="D27" i="3" s="1"/>
  <c r="E24" i="3"/>
  <c r="F25" i="3"/>
  <c r="E22" i="3"/>
  <c r="E15" i="3"/>
  <c r="B7" i="4"/>
  <c r="F30" i="3" l="1"/>
  <c r="E37" i="3"/>
  <c r="B8" i="4"/>
  <c r="F15" i="3"/>
  <c r="F32" i="3"/>
  <c r="E23" i="3"/>
  <c r="E27" i="3" s="1"/>
  <c r="E40" i="3" s="1"/>
  <c r="F24" i="3"/>
  <c r="G25" i="3"/>
  <c r="F22" i="3"/>
  <c r="A9" i="4"/>
  <c r="G16" i="3"/>
  <c r="C6" i="4"/>
  <c r="C45" i="3"/>
  <c r="D19" i="3"/>
  <c r="G6" i="4"/>
  <c r="H6" i="4" s="1"/>
  <c r="D40" i="3"/>
  <c r="E5" i="4"/>
  <c r="B46" i="3"/>
  <c r="F5" i="4" s="1"/>
  <c r="H5" i="4"/>
  <c r="D41" i="3" l="1"/>
  <c r="E6" i="4"/>
  <c r="C46" i="3"/>
  <c r="F6" i="4" s="1"/>
  <c r="A10" i="4"/>
  <c r="H16" i="3"/>
  <c r="B9" i="4"/>
  <c r="G15" i="3"/>
  <c r="F23" i="3"/>
  <c r="F27" i="3" s="1"/>
  <c r="F40" i="3" s="1"/>
  <c r="H25" i="3"/>
  <c r="G22" i="3"/>
  <c r="G24" i="3"/>
  <c r="G32" i="3"/>
  <c r="G30" i="3"/>
  <c r="F37" i="3"/>
  <c r="H30" i="3" l="1"/>
  <c r="G37" i="3"/>
  <c r="H15" i="3"/>
  <c r="B10" i="4"/>
  <c r="I16" i="3"/>
  <c r="A11" i="4"/>
  <c r="G23" i="3"/>
  <c r="G27" i="3" s="1"/>
  <c r="G40" i="3" s="1"/>
  <c r="H24" i="3"/>
  <c r="I25" i="3"/>
  <c r="H22" i="3"/>
  <c r="H32" i="3"/>
  <c r="C7" i="4"/>
  <c r="G7" i="4"/>
  <c r="D45" i="3"/>
  <c r="E19" i="3"/>
  <c r="E41" i="3" s="1"/>
  <c r="C8" i="4" l="1"/>
  <c r="F19" i="3"/>
  <c r="F41" i="3" s="1"/>
  <c r="G8" i="4"/>
  <c r="H8" i="4" s="1"/>
  <c r="E45" i="3"/>
  <c r="H7" i="4"/>
  <c r="E7" i="4"/>
  <c r="D46" i="3"/>
  <c r="F7" i="4" s="1"/>
  <c r="I15" i="3"/>
  <c r="B11" i="4"/>
  <c r="A12" i="4"/>
  <c r="J16" i="3"/>
  <c r="I24" i="3"/>
  <c r="J25" i="3"/>
  <c r="I32" i="3"/>
  <c r="I22" i="3"/>
  <c r="H23" i="3"/>
  <c r="H27" i="3" s="1"/>
  <c r="H40" i="3" s="1"/>
  <c r="I30" i="3"/>
  <c r="H37" i="3"/>
  <c r="K16" i="3" l="1"/>
  <c r="A13" i="4"/>
  <c r="J30" i="3"/>
  <c r="I37" i="3"/>
  <c r="E8" i="4"/>
  <c r="E46" i="3"/>
  <c r="F8" i="4" s="1"/>
  <c r="J15" i="3"/>
  <c r="B12" i="4"/>
  <c r="J24" i="3"/>
  <c r="K25" i="3"/>
  <c r="J22" i="3"/>
  <c r="J32" i="3"/>
  <c r="I23" i="3"/>
  <c r="I27" i="3" s="1"/>
  <c r="I40" i="3" s="1"/>
  <c r="C9" i="4"/>
  <c r="F45" i="3"/>
  <c r="G19" i="3"/>
  <c r="G41" i="3" s="1"/>
  <c r="G9" i="4"/>
  <c r="G45" i="3" l="1"/>
  <c r="H19" i="3"/>
  <c r="H41" i="3" s="1"/>
  <c r="C10" i="4"/>
  <c r="G10" i="4"/>
  <c r="H10" i="4" s="1"/>
  <c r="E9" i="4"/>
  <c r="F46" i="3"/>
  <c r="F9" i="4" s="1"/>
  <c r="L25" i="3"/>
  <c r="K22" i="3"/>
  <c r="J23" i="3"/>
  <c r="J27" i="3" s="1"/>
  <c r="K32" i="3"/>
  <c r="K24" i="3"/>
  <c r="K30" i="3"/>
  <c r="J37" i="3"/>
  <c r="H9" i="4"/>
  <c r="L16" i="3"/>
  <c r="A14" i="4"/>
  <c r="B13" i="4"/>
  <c r="K15" i="3"/>
  <c r="H45" i="3" l="1"/>
  <c r="I19" i="3"/>
  <c r="I41" i="3" s="1"/>
  <c r="C11" i="4"/>
  <c r="G11" i="4"/>
  <c r="M16" i="3"/>
  <c r="A15" i="4"/>
  <c r="M25" i="3"/>
  <c r="L22" i="3"/>
  <c r="L32" i="3"/>
  <c r="L24" i="3"/>
  <c r="K23" i="3"/>
  <c r="K27" i="3" s="1"/>
  <c r="K37" i="3"/>
  <c r="L30" i="3"/>
  <c r="B14" i="4"/>
  <c r="L15" i="3"/>
  <c r="J40" i="3"/>
  <c r="E10" i="4"/>
  <c r="G46" i="3"/>
  <c r="F10" i="4" s="1"/>
  <c r="K40" i="3" l="1"/>
  <c r="H11" i="4"/>
  <c r="L37" i="3"/>
  <c r="M30" i="3"/>
  <c r="N16" i="3"/>
  <c r="A17" i="4" s="1"/>
  <c r="A16" i="4"/>
  <c r="M32" i="3"/>
  <c r="M24" i="3"/>
  <c r="L23" i="3"/>
  <c r="L27" i="3" s="1"/>
  <c r="N25" i="3"/>
  <c r="M22" i="3"/>
  <c r="C12" i="4"/>
  <c r="G12" i="4"/>
  <c r="H12" i="4" s="1"/>
  <c r="I45" i="3"/>
  <c r="J19" i="3"/>
  <c r="J41" i="3" s="1"/>
  <c r="B15" i="4"/>
  <c r="M15" i="3"/>
  <c r="E11" i="4"/>
  <c r="H46" i="3"/>
  <c r="F11" i="4" s="1"/>
  <c r="N30" i="3" l="1"/>
  <c r="N37" i="3" s="1"/>
  <c r="M37" i="3"/>
  <c r="N32" i="3"/>
  <c r="M23" i="3"/>
  <c r="M27" i="3" s="1"/>
  <c r="N24" i="3"/>
  <c r="N22" i="3"/>
  <c r="N23" i="3" s="1"/>
  <c r="N27" i="3" s="1"/>
  <c r="L40" i="3"/>
  <c r="N15" i="3"/>
  <c r="B17" i="4" s="1"/>
  <c r="B16" i="4"/>
  <c r="C13" i="4"/>
  <c r="G13" i="4"/>
  <c r="H13" i="4" s="1"/>
  <c r="J45" i="3"/>
  <c r="K19" i="3"/>
  <c r="K41" i="3" s="1"/>
  <c r="E12" i="4"/>
  <c r="I46" i="3"/>
  <c r="F12" i="4" s="1"/>
  <c r="C14" i="4" l="1"/>
  <c r="K45" i="3"/>
  <c r="L19" i="3"/>
  <c r="L41" i="3" s="1"/>
  <c r="G14" i="4"/>
  <c r="H14" i="4" s="1"/>
  <c r="M40" i="3"/>
  <c r="E13" i="4"/>
  <c r="J46" i="3"/>
  <c r="F13" i="4" s="1"/>
  <c r="N40" i="3"/>
  <c r="C15" i="4" l="1"/>
  <c r="M19" i="3"/>
  <c r="M41" i="3" s="1"/>
  <c r="L45" i="3"/>
  <c r="G15" i="4"/>
  <c r="H15" i="4" s="1"/>
  <c r="E14" i="4"/>
  <c r="K46" i="3"/>
  <c r="F14" i="4" s="1"/>
  <c r="E15" i="4" l="1"/>
  <c r="L46" i="3"/>
  <c r="F15" i="4" s="1"/>
  <c r="C16" i="4"/>
  <c r="G16" i="4"/>
  <c r="H16" i="4" s="1"/>
  <c r="M45" i="3"/>
  <c r="N19" i="3"/>
  <c r="N41" i="3" s="1"/>
  <c r="C17" i="4" l="1"/>
  <c r="N45" i="3"/>
  <c r="G17" i="4"/>
  <c r="E16" i="4"/>
  <c r="M46" i="3"/>
  <c r="F16" i="4" s="1"/>
  <c r="H17" i="4" l="1"/>
  <c r="D24" i="4"/>
  <c r="E17" i="4"/>
  <c r="N46" i="3"/>
  <c r="F17" i="4" s="1"/>
  <c r="D22" i="4"/>
  <c r="D23" i="4"/>
  <c r="D20" i="4" l="1"/>
  <c r="D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100-000001000000}">
      <text>
        <r>
          <rPr>
            <sz val="10"/>
            <rFont val="Arial"/>
            <family val="2"/>
          </rPr>
          <t>Enter your actual current bank balance. This feeds Week 1's Opening Cash Balance.</t>
        </r>
      </text>
    </comment>
    <comment ref="B5" authorId="0" shapeId="0" xr:uid="{00000000-0006-0000-0100-000002000000}">
      <text>
        <r>
          <rPr>
            <sz val="10"/>
            <rFont val="Arial"/>
            <family val="2"/>
          </rPr>
          <t>Your typical weekly sales/revenue right now, before applying the growth assumption below.</t>
        </r>
      </text>
    </comment>
    <comment ref="D8" authorId="0" shapeId="0" xr:uid="{00000000-0006-0000-0100-000003000000}">
      <text>
        <r>
          <rPr>
            <sz val="10"/>
            <rFont val="Arial"/>
            <family val="2"/>
          </rPr>
          <t>Compounding weekly growth applied to sales starting Week 2.</t>
        </r>
      </text>
    </comment>
    <comment ref="D9" authorId="0" shapeId="0" xr:uid="{00000000-0006-0000-0100-000004000000}">
      <text>
        <r>
          <rPr>
            <sz val="10"/>
            <rFont val="Arial"/>
            <family val="2"/>
          </rPr>
          <t>Share of a week's sales collected as cash in that same week.</t>
        </r>
      </text>
    </comment>
    <comment ref="D10" authorId="0" shapeId="0" xr:uid="{00000000-0006-0000-0100-000005000000}">
      <text>
        <r>
          <rPr>
            <sz val="10"/>
            <rFont val="Arial"/>
            <family val="2"/>
          </rPr>
          <t>Share collected one week after the sale.</t>
        </r>
      </text>
    </comment>
    <comment ref="D11" authorId="0" shapeId="0" xr:uid="{00000000-0006-0000-0100-000006000000}">
      <text>
        <r>
          <rPr>
            <sz val="10"/>
            <rFont val="Arial"/>
            <family val="2"/>
          </rPr>
          <t>Share collected two or more weeks later, or never collected at all.</t>
        </r>
      </text>
    </comment>
    <comment ref="D12" authorId="0" shapeId="0" xr:uid="{00000000-0006-0000-0100-000007000000}">
      <text>
        <r>
          <rPr>
            <sz val="10"/>
            <rFont val="Arial"/>
            <family val="2"/>
          </rPr>
          <t>Small weekly compounding — a simplified stand-in for periodic cost inflation.</t>
        </r>
      </text>
    </comment>
    <comment ref="D13" authorId="0" shapeId="0" xr:uid="{00000000-0006-0000-0100-000008000000}">
      <text>
        <r>
          <rPr>
            <sz val="10"/>
            <rFont val="Arial"/>
            <family val="2"/>
          </rPr>
          <t>Supplier payments this week, as a % of last week's sales.</t>
        </r>
      </text>
    </comment>
    <comment ref="D14" authorId="0" shapeId="0" xr:uid="{00000000-0006-0000-0100-000009000000}">
      <text>
        <r>
          <rPr>
            <sz val="10"/>
            <rFont val="Arial"/>
            <family val="2"/>
          </rPr>
          <t>Applied to Other Operating Expenses — Worst Case models real cost-cutting.</t>
        </r>
      </text>
    </comment>
    <comment ref="D15" authorId="0" shapeId="0" xr:uid="{00000000-0006-0000-0100-00000A000000}">
      <text>
        <r>
          <rPr>
            <sz val="10"/>
            <rFont val="Arial"/>
            <family val="2"/>
          </rPr>
          <t>Your target minimum buffer — e.g. a covenant floor or board-set comfort level.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2" authorId="0" shapeId="0" xr:uid="{00000000-0006-0000-0200-000001000000}">
      <text>
        <r>
          <rPr>
            <sz val="10"/>
            <rFont val="Arial"/>
            <family val="2"/>
          </rPr>
          <t>The Monday (or your week-start day) of the first forecast week.</t>
        </r>
      </text>
    </comment>
  </commentList>
</comments>
</file>

<file path=xl/sharedStrings.xml><?xml version="1.0" encoding="utf-8"?>
<sst xmlns="http://schemas.openxmlformats.org/spreadsheetml/2006/main" count="166" uniqueCount="158">
  <si>
    <t>AI-Powered Cash Flow Forecasting Template</t>
  </si>
  <si>
    <t>A dynamic rolling 13-week cash flow forecasting model — live data connection guides, scenario inputs, and anomaly detection.</t>
  </si>
  <si>
    <t>How This Workbook Is Organised</t>
  </si>
  <si>
    <t>Tab</t>
  </si>
  <si>
    <t>Purpose</t>
  </si>
  <si>
    <t>Scenario Inputs</t>
  </si>
  <si>
    <t>Set your Best / Base / Worst case assumptions here first — starting balance, growth, collection rates, cost multipliers.</t>
  </si>
  <si>
    <t>13-Week Cash Flow</t>
  </si>
  <si>
    <t>The rolling forecast itself — select a scenario from the dropdown and it recalculates automatically.</t>
  </si>
  <si>
    <t>Anomaly Detection</t>
  </si>
  <si>
    <t>Flags any week projected to fall below your minimum cash threshold, plus large week-over-week swings.</t>
  </si>
  <si>
    <t>Live Data Connection Guide</t>
  </si>
  <si>
    <t>How to connect this workbook to your bank/accounting data instead of retyping figures manually.</t>
  </si>
  <si>
    <t>AI Commentary Prompts</t>
  </si>
  <si>
    <t>Ready-to-use prompts for generating narrative commentary with Copilot or another AI assistant.</t>
  </si>
  <si>
    <t>Colour Legend</t>
  </si>
  <si>
    <t>Blue text</t>
  </si>
  <si>
    <t>An input cell you should fill in or edit for your own business.</t>
  </si>
  <si>
    <t>Black text</t>
  </si>
  <si>
    <t>A formula — do not overtype, or the roll-forward logic will break.</t>
  </si>
  <si>
    <t>Green text</t>
  </si>
  <si>
    <t>A link pulling data from another tab — edit the source, not this cell.</t>
  </si>
  <si>
    <t>Yellow fill</t>
  </si>
  <si>
    <t>A key input or assumption cell, highlighted for visibility.</t>
  </si>
  <si>
    <t>Getting Started</t>
  </si>
  <si>
    <t>1.</t>
  </si>
  <si>
    <t>Go to Scenario Inputs and enter your actual starting cash balance and assumptions for each scenario.</t>
  </si>
  <si>
    <t>2.</t>
  </si>
  <si>
    <t>Go to 13-Week Cash Flow and select which scenario to view using the dropdown near the top.</t>
  </si>
  <si>
    <t>3.</t>
  </si>
  <si>
    <t>Replace the sample receipt/payment line items with your own recurring items.</t>
  </si>
  <si>
    <t>4.</t>
  </si>
  <si>
    <t>Review Anomaly Detection each week to catch any weeks projected to breach your minimum cash threshold.</t>
  </si>
  <si>
    <t>5.</t>
  </si>
  <si>
    <t>Use AI Commentary Prompts with Copilot in Excel (or another AI assistant) to generate a written summary for stakeholders.</t>
  </si>
  <si>
    <t>Important Notes</t>
  </si>
  <si>
    <t>This template ships with illustrative sample data so you can see how the model behaves — replace it with your own figures before relying on it for real decisions.</t>
  </si>
  <si>
    <t>“Live” updating means designing a refresh process (see the Live Data Connection Guide tab) — this workbook does not automatically pull data from your bank without that setup.</t>
  </si>
  <si>
    <t>© 2026 MDD Business Consulting · Premium Resource · Not for redistribution.</t>
  </si>
  <si>
    <t>Set your Best / Base / Worst case assumptions here. The 13-Week Cash Flow tab pulls whichever scenario is selected there.</t>
  </si>
  <si>
    <t>Starting Cash Balance ($)</t>
  </si>
  <si>
    <t>Base Weekly Sales ($) — current week level</t>
  </si>
  <si>
    <t>Assumption</t>
  </si>
  <si>
    <t>Best Case</t>
  </si>
  <si>
    <t>Base Case</t>
  </si>
  <si>
    <t>Worst Case</t>
  </si>
  <si>
    <t>Weekly Revenue Growth Rate (%)</t>
  </si>
  <si>
    <t>Collection Rate — Same Week (%)</t>
  </si>
  <si>
    <t>Collection Rate — Week +1 Delay (%)</t>
  </si>
  <si>
    <t>Collection Rate — Week +2+ / Bad Debt (%)</t>
  </si>
  <si>
    <t>Payroll &amp; Fixed Cost Growth (%)</t>
  </si>
  <si>
    <t>COGS / Supplier Payment Ratio (%)</t>
  </si>
  <si>
    <t>Discretionary Spend Multiplier</t>
  </si>
  <si>
    <t>Minimum Cash Threshold ($)</t>
  </si>
  <si>
    <t>Collection Rate Check (should total 100%)</t>
  </si>
  <si>
    <t>13-Week Rolling Cash Flow Forecast</t>
  </si>
  <si>
    <t>Active Scenario:</t>
  </si>
  <si>
    <t>Forecast Start Date:</t>
  </si>
  <si>
    <t>ACTIVE SCENARIO ASSUMPTIONS  (auto-pulled from Scenario Inputs based on the selector above)</t>
  </si>
  <si>
    <t>Weekly Revenue Growth Rate</t>
  </si>
  <si>
    <t>Collection Rate — Same Week</t>
  </si>
  <si>
    <t>Collection Rate — Week +1 Delay</t>
  </si>
  <si>
    <t>Collection Rate — Week +2+ / Bad Debt</t>
  </si>
  <si>
    <t>Payroll &amp; Fixed Cost Growth</t>
  </si>
  <si>
    <t>COGS / Supplier Payment Ratio</t>
  </si>
  <si>
    <t>Minimum Cash Threshold</t>
  </si>
  <si>
    <t>13-WEEK ROLLING FORECAST</t>
  </si>
  <si>
    <t>Week Starting</t>
  </si>
  <si>
    <t>Week Number</t>
  </si>
  <si>
    <t>CASH POSITION</t>
  </si>
  <si>
    <t>Opening Cash Balance</t>
  </si>
  <si>
    <t>CASH RECEIPTS</t>
  </si>
  <si>
    <t>Forecast Sales (Revenue)</t>
  </si>
  <si>
    <t>Collections — Same Week</t>
  </si>
  <si>
    <t>Collections — Week +1 Delay</t>
  </si>
  <si>
    <t>Collections — Week +2+ Delay</t>
  </si>
  <si>
    <t>Other Income</t>
  </si>
  <si>
    <t>TOTAL CASH RECEIPTS</t>
  </si>
  <si>
    <t>CASH PAYMENTS</t>
  </si>
  <si>
    <t>Payroll &amp; Benefits</t>
  </si>
  <si>
    <t>Rent &amp; Facilities</t>
  </si>
  <si>
    <t>Supplier / COGS Payments</t>
  </si>
  <si>
    <t>Tax Payments</t>
  </si>
  <si>
    <t>Loan / Debt Service</t>
  </si>
  <si>
    <t>Other Operating Expenses</t>
  </si>
  <si>
    <t>Capital Expenditure</t>
  </si>
  <si>
    <t>TOTAL CASH PAYMENTS</t>
  </si>
  <si>
    <t>NET CASH FLOW</t>
  </si>
  <si>
    <t>Net Cash Flow</t>
  </si>
  <si>
    <t>Closing Cash Balance</t>
  </si>
  <si>
    <t>THRESHOLD &amp; STATUS</t>
  </si>
  <si>
    <t>Buffer Above / (Below) Threshold</t>
  </si>
  <si>
    <t>Status</t>
  </si>
  <si>
    <t>Anomaly Detection Dashboard</t>
  </si>
  <si>
    <t>Automatically flags any week in the 13-Week Cash Flow tab where projected cash falls below your minimum threshold, or shows an unusually large week-over-week swing.</t>
  </si>
  <si>
    <t>Week #</t>
  </si>
  <si>
    <t>Closing Balance</t>
  </si>
  <si>
    <t>Min. Threshold</t>
  </si>
  <si>
    <t>Buffer</t>
  </si>
  <si>
    <t>Week-over-Week Change</t>
  </si>
  <si>
    <t>Change Flag</t>
  </si>
  <si>
    <t>SUMMARY</t>
  </si>
  <si>
    <t>Weeks Below Minimum Threshold:</t>
  </si>
  <si>
    <t>Weeks Near Minimum Threshold:</t>
  </si>
  <si>
    <t>Lowest Projected Closing Balance:</t>
  </si>
  <si>
    <t>Week of Lowest Balance:</t>
  </si>
  <si>
    <t>Largest Single-Week Negative Swing:</t>
  </si>
  <si>
    <t>WHAT TO DO IF A WEEK IS FLAGGED</t>
  </si>
  <si>
    <t>–  Accelerate collections on the largest outstanding invoices due before the flagged week.</t>
  </si>
  <si>
    <t>–  Delay discretionary, non-essential spend scheduled for that week where possible.</t>
  </si>
  <si>
    <t>–  Confirm whether a credit facility or overdraft is available to draw on as a buffer.</t>
  </si>
  <si>
    <t>–  Escalate to management early — a flag with several weeks of notice is a planning problem, not a crisis.</t>
  </si>
  <si>
    <t>This template works filled in manually, but the real value of a rolling 13-week forecast comes from connecting it to live bank and accounting data — so your Opening Balance and recent Sales/Payments update automatically each week rather than being retyped.</t>
  </si>
  <si>
    <t>Option 1 — Power Query From a Bank Export</t>
  </si>
  <si>
    <t>1.  Export recent transactions from your bank</t>
  </si>
  <si>
    <t>Most online banking portals support a CSV or Excel export under “Statements” or “Export” — grab the last few weeks.</t>
  </si>
  <si>
    <t>2.  Connect Excel to that file</t>
  </si>
  <si>
    <t>Data &gt; Get Data &gt; From File &gt; From Workbook/CSV, and point it at your export.</t>
  </si>
  <si>
    <t>3.  Transform to the columns you need</t>
  </si>
  <si>
    <t>Use Power Query's transform steps to filter to the date range and columns required (date, amount, description).</t>
  </si>
  <si>
    <t>4.  Feed the result into Week 1's Opening Balance</t>
  </si>
  <si>
    <t>Load the query as a connection, then reference it in the Opening Balance formula instead of typing the figure manually.</t>
  </si>
  <si>
    <t>5.  Set it to refresh automatically</t>
  </si>
  <si>
    <t>Data &gt; Queries &amp; Connections &gt; Properties &gt; Refresh on Open, so the figure updates every time you open the file.</t>
  </si>
  <si>
    <t>Option 2 — Accounting Platform Export (QuickBooks, Xero, NetSuite)</t>
  </si>
  <si>
    <t>1.  Schedule a standard export</t>
  </si>
  <si>
    <t>Most accounting platforms can export an aged receivables/payables report or a cash transaction report on a recurring schedule.</t>
  </si>
  <si>
    <t>2.  Save it to a fixed location</t>
  </si>
  <si>
    <t>Use a file path or shared drive location that doesn't change week to week, so your Power Query connection always finds it.</t>
  </si>
  <si>
    <t>3.  Point a Power Query connection at that location</t>
  </si>
  <si>
    <t>The same way as the bank export above.</t>
  </si>
  <si>
    <t>4.  Consider a direct API connection if available</t>
  </si>
  <si>
    <t>Power Query's Web connector can pull directly from your platform's API on a supported plan, removing the manual export step entirely.</t>
  </si>
  <si>
    <t>Option 3 — Manual Weekly Update (No Live Connection)</t>
  </si>
  <si>
    <t>1.  Check your actual balance at a fixed time each week</t>
  </si>
  <si>
    <t>Every Monday morning (or your chosen day), open your bank portal and note last week's actual closing balance.</t>
  </si>
  <si>
    <t>2.  Enter it as this week's Opening Balance</t>
  </si>
  <si>
    <t>Overwrite the linked/prior formula for the current week with the confirmed actual figure.</t>
  </si>
  <si>
    <t>3.  Compare last week's forecast against what happened</t>
  </si>
  <si>
    <t>Review last week's forecast Receipts and Payments against actuals, and adjust this week's assumptions if there's a consistent pattern of variance.</t>
  </si>
  <si>
    <t>4.  Accept the trade-off</t>
  </si>
  <si>
    <t>This process takes materially longer each week than a live connection, but ensures the model doesn't silently go stale.</t>
  </si>
  <si>
    <t>Recommended Refresh Cadence</t>
  </si>
  <si>
    <t>At minimum, refresh once per week — ideally the same day and time each week (commonly Monday morning) so the forecast reflects the most recent actuals before the coming week's decisions are made.</t>
  </si>
  <si>
    <t>Whichever method you use: always sense-check the refreshed Opening Balance against your bank portal directly before trusting the model for a decision. An unnoticed connection failure will otherwise silently freeze last week's number in place.</t>
  </si>
  <si>
    <t>Copy any of the prompts below into Copilot in Excel (or another AI assistant with access to this workbook) to generate narrative commentary from the model's current data. Adjust the bracketed details to match your actual audience and reporting cadence.</t>
  </si>
  <si>
    <t>Prompt 1 — Executive Summary</t>
  </si>
  <si>
    <t>“Using the data in the '13-Week Cash Flow' tab, write a 3-sentence executive summary of our projected cash position over the next 13 weeks under the Base Case scenario. Highlight the lowest projected balance and which week it occurs in.”</t>
  </si>
  <si>
    <t>Prompt 2 — Anomaly Explanation</t>
  </si>
  <si>
    <t>“Looking at the 'Anomaly Detection' tab, list every week flagged as Below Minimum or Near Minimum, and suggest two possible actions to address each one.”</t>
  </si>
  <si>
    <t>Prompt 3 — Scenario Comparison</t>
  </si>
  <si>
    <t>“Compare the Week 13 closing cash balance across the Best Case, Base Case, and Worst Case scenarios in this workbook, and explain in plain language what's driving the difference between them.”</t>
  </si>
  <si>
    <t>Prompt 4 — Board / Stakeholder Commentary</t>
  </si>
  <si>
    <t>“Write a short cash flow commentary suitable for a board pack, covering: our current cash position, the trend over the next 13 weeks, any weeks of concern, and what we're doing about them. Keep it under 150 words and avoid unexplained jargon.”</t>
  </si>
  <si>
    <t>Prompt 5 — Variance Explanation (once actuals are added)</t>
  </si>
  <si>
    <t>“Compare this week's actual cash receipts and payments in the '13-Week Cash Flow' tab against what was forecast for this week last month, and explain the most likely drivers of any significant variance.”</t>
  </si>
  <si>
    <t>A Note on Using These Prompts</t>
  </si>
  <si>
    <t>These prompts assume the AI assistant has access to read this workbook's current data (e.g. via Copilot in Excel's Agent Mode). If using a general-purpose AI tool without direct file access, copy the relevant figures into the chat alongside the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</si>
</sst>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
    <numFmt numFmtId="165" formatCode="0.0%"/>
    <numFmt numFmtId="166" formatCode="0.00\x"/>
    <numFmt numFmtId="167" formatCode="mmm\ d&quot;, &quot;yyyy"/>
    <numFmt numFmtId="168" formatCode="mmm\ d"/>
  </numFmts>
  <fonts count="28" x14ac:knownFonts="1">
    <font>
      <sz val="11"/>
      <color theme="1"/>
      <name val="Calibri"/>
      <family val="2"/>
      <charset val="1"/>
    </font>
    <font>
      <b/>
      <sz val="14"/>
      <color rgb="FFFFFFFF"/>
      <name val="Arial"/>
      <charset val="1"/>
    </font>
    <font>
      <i/>
      <sz val="9"/>
      <color rgb="FF64748B"/>
      <name val="Arial"/>
      <charset val="1"/>
    </font>
    <font>
      <b/>
      <sz val="10"/>
      <color rgb="FFFFFFFF"/>
      <name val="Arial"/>
      <charset val="1"/>
    </font>
    <font>
      <b/>
      <sz val="9.5"/>
      <color rgb="FFFFFFFF"/>
      <name val="Arial"/>
      <charset val="1"/>
    </font>
    <font>
      <b/>
      <sz val="9"/>
      <color rgb="FF2D3748"/>
      <name val="Arial"/>
      <charset val="1"/>
    </font>
    <font>
      <sz val="9"/>
      <color rgb="FF2D3748"/>
      <name val="Arial"/>
      <charset val="1"/>
    </font>
    <font>
      <b/>
      <sz val="9"/>
      <color rgb="FF0000FF"/>
      <name val="Arial"/>
      <charset val="1"/>
    </font>
    <font>
      <b/>
      <sz val="9"/>
      <color rgb="FF008000"/>
      <name val="Arial"/>
      <charset val="1"/>
    </font>
    <font>
      <b/>
      <sz val="9"/>
      <color rgb="FFC07A2D"/>
      <name val="Arial"/>
      <charset val="1"/>
    </font>
    <font>
      <i/>
      <sz val="8"/>
      <color rgb="FF64748B"/>
      <name val="Arial"/>
      <charset val="1"/>
    </font>
    <font>
      <i/>
      <sz val="8.5"/>
      <color rgb="FF64748B"/>
      <name val="Arial"/>
      <charset val="1"/>
    </font>
    <font>
      <b/>
      <sz val="9.5"/>
      <color rgb="FF2D3748"/>
      <name val="Arial"/>
      <charset val="1"/>
    </font>
    <font>
      <sz val="9.5"/>
      <color rgb="FF0000FF"/>
      <name val="Arial"/>
      <charset val="1"/>
    </font>
    <font>
      <sz val="9.5"/>
      <color rgb="FF2D3748"/>
      <name val="Arial"/>
      <charset val="1"/>
    </font>
    <font>
      <i/>
      <sz val="9.5"/>
      <color rgb="FF2D3748"/>
      <name val="Arial"/>
      <charset val="1"/>
    </font>
    <font>
      <sz val="10"/>
      <name val="Arial"/>
      <family val="2"/>
    </font>
    <font>
      <b/>
      <sz val="9.5"/>
      <color rgb="FF0D1B2A"/>
      <name val="Arial"/>
      <charset val="1"/>
    </font>
    <font>
      <sz val="9.5"/>
      <color rgb="FF008000"/>
      <name val="Arial"/>
      <charset val="1"/>
    </font>
    <font>
      <sz val="9"/>
      <color rgb="FF0000FF"/>
      <name val="Arial"/>
      <charset val="1"/>
    </font>
    <font>
      <b/>
      <sz val="8.6999999999999993"/>
      <color rgb="FFFFFFFF"/>
      <name val="Arial"/>
      <charset val="1"/>
    </font>
    <font>
      <sz val="9"/>
      <color rgb="FF008000"/>
      <name val="Arial"/>
      <charset val="1"/>
    </font>
    <font>
      <b/>
      <sz val="9"/>
      <color rgb="FF991B1B"/>
      <name val="Arial"/>
      <charset val="1"/>
    </font>
    <font>
      <b/>
      <sz val="9.5"/>
      <color rgb="FF991B1B"/>
      <name val="Arial"/>
      <charset val="1"/>
    </font>
    <font>
      <b/>
      <sz val="9.5"/>
      <color rgb="FFC07A2D"/>
      <name val="Arial"/>
      <charset val="1"/>
    </font>
    <font>
      <sz val="8.6999999999999993"/>
      <color rgb="FF2D3748"/>
      <name val="Arial"/>
      <charset val="1"/>
    </font>
    <font>
      <i/>
      <sz val="8.6999999999999993"/>
      <color rgb="FF64748B"/>
      <name val="Arial"/>
      <charset val="1"/>
    </font>
    <font>
      <i/>
      <sz val="9.3000000000000007"/>
      <color rgb="FF0D1B2A"/>
      <name val="Arial"/>
      <charset val="1"/>
    </font>
  </fonts>
  <fills count="6">
    <fill>
      <patternFill patternType="none"/>
    </fill>
    <fill>
      <patternFill patternType="gray125"/>
    </fill>
    <fill>
      <patternFill patternType="solid">
        <fgColor rgb="FF0D1B2A"/>
        <bgColor rgb="FF000000"/>
      </patternFill>
    </fill>
    <fill>
      <patternFill patternType="solid">
        <fgColor rgb="FFC07A2D"/>
        <bgColor rgb="FFFF6600"/>
      </patternFill>
    </fill>
    <fill>
      <patternFill patternType="solid">
        <fgColor rgb="FFFFFDE7"/>
        <bgColor rgb="FFFFFFFF"/>
      </patternFill>
    </fill>
    <fill>
      <patternFill patternType="solid">
        <fgColor rgb="FFF7F3ED"/>
        <bgColor rgb="FFFFFDE7"/>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58">
    <xf numFmtId="0" fontId="0" fillId="0" borderId="0" xfId="0"/>
    <xf numFmtId="0" fontId="3" fillId="2" borderId="0" xfId="0" applyFont="1" applyFill="1" applyAlignment="1">
      <alignment horizontal="left" vertical="center" indent="1"/>
    </xf>
    <xf numFmtId="0" fontId="26" fillId="0" borderId="0" xfId="0" applyFont="1" applyAlignment="1">
      <alignment vertical="top" wrapText="1"/>
    </xf>
    <xf numFmtId="0" fontId="17" fillId="0" borderId="0" xfId="0" applyFont="1"/>
    <xf numFmtId="0" fontId="25" fillId="0" borderId="0" xfId="0" applyFont="1" applyAlignment="1">
      <alignment vertical="top" wrapText="1"/>
    </xf>
    <xf numFmtId="0" fontId="12" fillId="0" borderId="0" xfId="0" applyFont="1" applyAlignment="1">
      <alignment vertical="top" wrapText="1"/>
    </xf>
    <xf numFmtId="0" fontId="11" fillId="0" borderId="0" xfId="0" applyFont="1" applyAlignment="1">
      <alignment vertical="top" wrapText="1"/>
    </xf>
    <xf numFmtId="0" fontId="4" fillId="3" borderId="0" xfId="0" applyFont="1" applyFill="1" applyAlignment="1">
      <alignment horizontal="left" vertical="center" indent="1"/>
    </xf>
    <xf numFmtId="164" fontId="13" fillId="4" borderId="1" xfId="0" applyNumberFormat="1" applyFont="1" applyFill="1" applyBorder="1"/>
    <xf numFmtId="0" fontId="11" fillId="0" borderId="0" xfId="0" applyFont="1"/>
    <xf numFmtId="0" fontId="10" fillId="0" borderId="0" xfId="0" applyFont="1"/>
    <xf numFmtId="0" fontId="6" fillId="0" borderId="0" xfId="0" applyFont="1" applyAlignment="1">
      <alignment vertical="top" wrapText="1"/>
    </xf>
    <xf numFmtId="0" fontId="3" fillId="3" borderId="0" xfId="0" applyFont="1" applyFill="1" applyAlignment="1">
      <alignment horizontal="left" vertical="center" indent="1"/>
    </xf>
    <xf numFmtId="0" fontId="2" fillId="0" borderId="0" xfId="0" applyFont="1" applyAlignment="1">
      <alignment vertical="top" wrapText="1"/>
    </xf>
    <xf numFmtId="0" fontId="1" fillId="2" borderId="0" xfId="0" applyFont="1" applyFill="1" applyAlignment="1">
      <alignment horizontal="left" vertical="center" indent="1"/>
    </xf>
    <xf numFmtId="0" fontId="4" fillId="2" borderId="1" xfId="0" applyFont="1" applyFill="1" applyBorder="1"/>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6" fillId="0" borderId="0" xfId="0" applyFont="1" applyAlignment="1">
      <alignment wrapText="1"/>
    </xf>
    <xf numFmtId="0" fontId="5" fillId="0" borderId="0" xfId="0" applyFont="1"/>
    <xf numFmtId="0" fontId="8" fillId="0" borderId="0" xfId="0" applyFont="1"/>
    <xf numFmtId="0" fontId="9" fillId="0" borderId="0" xfId="0" applyFont="1"/>
    <xf numFmtId="0" fontId="6" fillId="0" borderId="0" xfId="0" applyFont="1" applyAlignment="1">
      <alignment vertical="top" wrapText="1"/>
    </xf>
    <xf numFmtId="0" fontId="12" fillId="0" borderId="0" xfId="0" applyFont="1" applyAlignment="1">
      <alignment vertical="center"/>
    </xf>
    <xf numFmtId="164" fontId="13" fillId="4" borderId="1" xfId="0" applyNumberFormat="1" applyFont="1" applyFill="1" applyBorder="1"/>
    <xf numFmtId="0" fontId="4" fillId="2" borderId="1" xfId="0" applyFont="1" applyFill="1" applyBorder="1" applyAlignment="1">
      <alignment horizontal="left" indent="1"/>
    </xf>
    <xf numFmtId="0" fontId="4" fillId="2" borderId="1" xfId="0" applyFont="1" applyFill="1" applyBorder="1" applyAlignment="1">
      <alignment horizontal="center"/>
    </xf>
    <xf numFmtId="0" fontId="14" fillId="0" borderId="0" xfId="0" applyFont="1" applyAlignment="1">
      <alignment vertical="center"/>
    </xf>
    <xf numFmtId="165" fontId="13" fillId="4" borderId="1" xfId="0" applyNumberFormat="1" applyFont="1" applyFill="1" applyBorder="1"/>
    <xf numFmtId="166" fontId="13" fillId="4" borderId="1" xfId="0" applyNumberFormat="1" applyFont="1" applyFill="1" applyBorder="1"/>
    <xf numFmtId="0" fontId="15" fillId="0" borderId="0" xfId="0" applyFont="1" applyAlignment="1">
      <alignment vertical="center"/>
    </xf>
    <xf numFmtId="165" fontId="11" fillId="0" borderId="1" xfId="0" applyNumberFormat="1" applyFont="1" applyBorder="1"/>
    <xf numFmtId="0" fontId="17" fillId="4" borderId="1" xfId="0" applyFont="1" applyFill="1" applyBorder="1"/>
    <xf numFmtId="167" fontId="13" fillId="4" borderId="1" xfId="0" applyNumberFormat="1" applyFont="1" applyFill="1" applyBorder="1"/>
    <xf numFmtId="165" fontId="18" fillId="0" borderId="1" xfId="0" applyNumberFormat="1" applyFont="1" applyBorder="1"/>
    <xf numFmtId="166" fontId="18" fillId="0" borderId="1" xfId="0" applyNumberFormat="1" applyFont="1" applyBorder="1"/>
    <xf numFmtId="164" fontId="18" fillId="0" borderId="1" xfId="0" applyNumberFormat="1" applyFont="1" applyBorder="1"/>
    <xf numFmtId="168" fontId="5" fillId="0" borderId="0" xfId="0" applyNumberFormat="1" applyFont="1" applyAlignment="1">
      <alignment horizontal="center"/>
    </xf>
    <xf numFmtId="0" fontId="5" fillId="0" borderId="0" xfId="0" applyFont="1" applyAlignment="1">
      <alignment horizontal="center"/>
    </xf>
    <xf numFmtId="164" fontId="5" fillId="0" borderId="1" xfId="0" applyNumberFormat="1" applyFont="1" applyBorder="1"/>
    <xf numFmtId="0" fontId="14" fillId="0" borderId="0" xfId="0" applyFont="1" applyAlignment="1">
      <alignment vertical="center" indent="1"/>
    </xf>
    <xf numFmtId="164" fontId="6" fillId="0" borderId="1" xfId="0" applyNumberFormat="1" applyFont="1" applyBorder="1"/>
    <xf numFmtId="164" fontId="19" fillId="4" borderId="1" xfId="0" applyNumberFormat="1" applyFont="1" applyFill="1" applyBorder="1"/>
    <xf numFmtId="164" fontId="12" fillId="0" borderId="1" xfId="0" applyNumberFormat="1" applyFont="1" applyBorder="1"/>
    <xf numFmtId="0" fontId="5" fillId="0" borderId="1" xfId="0" applyFont="1" applyBorder="1" applyAlignment="1">
      <alignment horizontal="center"/>
    </xf>
    <xf numFmtId="0" fontId="20" fillId="2" borderId="1" xfId="0" applyFont="1" applyFill="1" applyBorder="1" applyAlignment="1">
      <alignment horizontal="center" vertical="center" wrapText="1"/>
    </xf>
    <xf numFmtId="0" fontId="21" fillId="0" borderId="1" xfId="0" applyFont="1" applyBorder="1" applyAlignment="1">
      <alignment horizontal="center"/>
    </xf>
    <xf numFmtId="168" fontId="21" fillId="0" borderId="1" xfId="0" applyNumberFormat="1" applyFont="1" applyBorder="1" applyAlignment="1">
      <alignment horizontal="center"/>
    </xf>
    <xf numFmtId="164" fontId="21" fillId="0" borderId="1" xfId="0" applyNumberFormat="1" applyFont="1" applyBorder="1"/>
    <xf numFmtId="0" fontId="8" fillId="0" borderId="1" xfId="0" applyFont="1" applyBorder="1" applyAlignment="1">
      <alignment horizontal="center"/>
    </xf>
    <xf numFmtId="0" fontId="22" fillId="0" borderId="1" xfId="0" applyFont="1" applyBorder="1" applyAlignment="1">
      <alignment horizontal="center"/>
    </xf>
    <xf numFmtId="0" fontId="23" fillId="0" borderId="0" xfId="0" applyFont="1"/>
    <xf numFmtId="0" fontId="24" fillId="0" borderId="0" xfId="0" applyFont="1"/>
    <xf numFmtId="164" fontId="12" fillId="0" borderId="0" xfId="0" applyNumberFormat="1" applyFont="1"/>
    <xf numFmtId="0" fontId="12" fillId="0" borderId="0" xfId="0" applyFont="1"/>
    <xf numFmtId="164" fontId="23" fillId="0" borderId="0" xfId="0" applyNumberFormat="1" applyFont="1"/>
    <xf numFmtId="0" fontId="27" fillId="5" borderId="0" xfId="0" applyFont="1" applyFill="1" applyAlignment="1">
      <alignment vertical="top" wrapText="1" indent="1"/>
    </xf>
  </cellXfs>
  <cellStyles count="1">
    <cellStyle name="Normal" xfId="0" builtinId="0"/>
  </cellStyles>
  <dxfs count="10">
    <dxf>
      <fill>
        <patternFill>
          <bgColor rgb="FFFEE2E2"/>
        </patternFill>
      </fill>
    </dxf>
    <dxf>
      <font>
        <b/>
        <color rgb="FF1E6B4A"/>
      </font>
      <fill>
        <patternFill>
          <bgColor rgb="FFD1FAE5"/>
        </patternFill>
      </fill>
    </dxf>
    <dxf>
      <font>
        <b/>
        <color rgb="FFC07A2D"/>
      </font>
      <fill>
        <patternFill>
          <bgColor rgb="FFFEF3C7"/>
        </patternFill>
      </fill>
    </dxf>
    <dxf>
      <font>
        <b/>
        <color rgb="FF991B1B"/>
      </font>
      <fill>
        <patternFill>
          <bgColor rgb="FFFEE2E2"/>
        </patternFill>
      </fill>
    </dxf>
    <dxf>
      <font>
        <b/>
        <color rgb="FF1E6B4A"/>
      </font>
      <fill>
        <patternFill>
          <bgColor rgb="FFD1FAE5"/>
        </patternFill>
      </fill>
    </dxf>
    <dxf>
      <font>
        <b/>
        <color rgb="FFC07A2D"/>
      </font>
      <fill>
        <patternFill>
          <bgColor rgb="FFFEF3C7"/>
        </patternFill>
      </fill>
    </dxf>
    <dxf>
      <font>
        <b/>
        <color rgb="FF991B1B"/>
      </font>
      <fill>
        <patternFill>
          <bgColor rgb="FFFEE2E2"/>
        </patternFill>
      </fill>
    </dxf>
    <dxf>
      <font>
        <b/>
        <color rgb="FF1E6B4A"/>
      </font>
      <fill>
        <patternFill>
          <bgColor rgb="FFD1FAE5"/>
        </patternFill>
      </fill>
    </dxf>
    <dxf>
      <font>
        <b/>
        <color rgb="FFC07A2D"/>
      </font>
      <fill>
        <patternFill>
          <bgColor rgb="FFFEF3C7"/>
        </patternFill>
      </fill>
    </dxf>
    <dxf>
      <font>
        <b/>
        <color rgb="FF991B1B"/>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C07A2D"/>
      <rgbColor rgb="FF800080"/>
      <rgbColor rgb="FF1E6B4A"/>
      <rgbColor rgb="FFC0C0C0"/>
      <rgbColor rgb="FF808080"/>
      <rgbColor rgb="FF9999FF"/>
      <rgbColor rgb="FF993366"/>
      <rgbColor rgb="FFFFFDE7"/>
      <rgbColor rgb="FFF7F3ED"/>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CCFFFF"/>
      <rgbColor rgb="FFD1FAE5"/>
      <rgbColor rgb="FFFEF3C7"/>
      <rgbColor rgb="FF99CCFF"/>
      <rgbColor rgb="FFFF99CC"/>
      <rgbColor rgb="FFCC99FF"/>
      <rgbColor rgb="FFFEE2E2"/>
      <rgbColor rgb="FF3366FF"/>
      <rgbColor rgb="FF33CCCC"/>
      <rgbColor rgb="FF99CC00"/>
      <rgbColor rgb="FFFFCC00"/>
      <rgbColor rgb="FFFF9900"/>
      <rgbColor rgb="FFFF6600"/>
      <rgbColor rgb="FF64748B"/>
      <rgbColor rgb="FF969696"/>
      <rgbColor rgb="FF003366"/>
      <rgbColor rgb="FF339966"/>
      <rgbColor rgb="FF0D1B2A"/>
      <rgbColor rgb="FF333300"/>
      <rgbColor rgb="FF991B1B"/>
      <rgbColor rgb="FF993366"/>
      <rgbColor rgb="FF333399"/>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9"/>
  <sheetViews>
    <sheetView showGridLines="0" tabSelected="1" topLeftCell="A12" zoomScaleNormal="100" workbookViewId="0">
      <selection sqref="A1:B1"/>
    </sheetView>
  </sheetViews>
  <sheetFormatPr defaultColWidth="8.7109375" defaultRowHeight="15" x14ac:dyDescent="0.25"/>
  <cols>
    <col min="1" max="1" width="32" customWidth="1"/>
    <col min="2" max="2" width="63" customWidth="1"/>
  </cols>
  <sheetData>
    <row r="1" spans="1:2" ht="18" x14ac:dyDescent="0.25">
      <c r="A1" s="14" t="s">
        <v>0</v>
      </c>
      <c r="B1" s="14"/>
    </row>
    <row r="2" spans="1:2" ht="25.5" customHeight="1" x14ac:dyDescent="0.25">
      <c r="A2" s="13" t="s">
        <v>1</v>
      </c>
      <c r="B2" s="13"/>
    </row>
    <row r="4" spans="1:2" x14ac:dyDescent="0.25">
      <c r="A4" s="12" t="s">
        <v>2</v>
      </c>
      <c r="B4" s="12"/>
    </row>
    <row r="5" spans="1:2" x14ac:dyDescent="0.25">
      <c r="A5" s="15" t="s">
        <v>3</v>
      </c>
      <c r="B5" s="15" t="s">
        <v>4</v>
      </c>
    </row>
    <row r="6" spans="1:2" ht="31.5" customHeight="1" x14ac:dyDescent="0.25">
      <c r="A6" s="16" t="s">
        <v>5</v>
      </c>
      <c r="B6" s="17" t="s">
        <v>6</v>
      </c>
    </row>
    <row r="7" spans="1:2" ht="31.5" customHeight="1" x14ac:dyDescent="0.25">
      <c r="A7" s="16" t="s">
        <v>7</v>
      </c>
      <c r="B7" s="17" t="s">
        <v>8</v>
      </c>
    </row>
    <row r="8" spans="1:2" ht="31.5" customHeight="1" x14ac:dyDescent="0.25">
      <c r="A8" s="16" t="s">
        <v>9</v>
      </c>
      <c r="B8" s="17" t="s">
        <v>10</v>
      </c>
    </row>
    <row r="9" spans="1:2" ht="31.5" customHeight="1" x14ac:dyDescent="0.25">
      <c r="A9" s="16" t="s">
        <v>11</v>
      </c>
      <c r="B9" s="17" t="s">
        <v>12</v>
      </c>
    </row>
    <row r="10" spans="1:2" ht="31.5" customHeight="1" x14ac:dyDescent="0.25">
      <c r="A10" s="16" t="s">
        <v>13</v>
      </c>
      <c r="B10" s="17" t="s">
        <v>14</v>
      </c>
    </row>
    <row r="12" spans="1:2" x14ac:dyDescent="0.25">
      <c r="A12" s="12" t="s">
        <v>15</v>
      </c>
      <c r="B12" s="12"/>
    </row>
    <row r="13" spans="1:2" ht="24" customHeight="1" x14ac:dyDescent="0.25">
      <c r="A13" s="18" t="s">
        <v>16</v>
      </c>
      <c r="B13" s="19" t="s">
        <v>17</v>
      </c>
    </row>
    <row r="14" spans="1:2" ht="24" customHeight="1" x14ac:dyDescent="0.25">
      <c r="A14" s="20" t="s">
        <v>18</v>
      </c>
      <c r="B14" s="19" t="s">
        <v>19</v>
      </c>
    </row>
    <row r="15" spans="1:2" ht="24" customHeight="1" x14ac:dyDescent="0.25">
      <c r="A15" s="21" t="s">
        <v>20</v>
      </c>
      <c r="B15" s="19" t="s">
        <v>21</v>
      </c>
    </row>
    <row r="16" spans="1:2" ht="24" customHeight="1" x14ac:dyDescent="0.25">
      <c r="A16" s="20" t="s">
        <v>22</v>
      </c>
      <c r="B16" s="19" t="s">
        <v>23</v>
      </c>
    </row>
    <row r="18" spans="1:2" x14ac:dyDescent="0.25">
      <c r="A18" s="12" t="s">
        <v>24</v>
      </c>
      <c r="B18" s="12"/>
    </row>
    <row r="19" spans="1:2" ht="27.75" customHeight="1" x14ac:dyDescent="0.25">
      <c r="A19" s="22" t="s">
        <v>25</v>
      </c>
      <c r="B19" s="23" t="s">
        <v>26</v>
      </c>
    </row>
    <row r="20" spans="1:2" ht="27.75" customHeight="1" x14ac:dyDescent="0.25">
      <c r="A20" s="22" t="s">
        <v>27</v>
      </c>
      <c r="B20" s="23" t="s">
        <v>28</v>
      </c>
    </row>
    <row r="21" spans="1:2" ht="27.75" customHeight="1" x14ac:dyDescent="0.25">
      <c r="A21" s="22" t="s">
        <v>29</v>
      </c>
      <c r="B21" s="23" t="s">
        <v>30</v>
      </c>
    </row>
    <row r="22" spans="1:2" ht="27.75" customHeight="1" x14ac:dyDescent="0.25">
      <c r="A22" s="22" t="s">
        <v>31</v>
      </c>
      <c r="B22" s="23" t="s">
        <v>32</v>
      </c>
    </row>
    <row r="23" spans="1:2" ht="27.75" customHeight="1" x14ac:dyDescent="0.25">
      <c r="A23" s="22" t="s">
        <v>33</v>
      </c>
      <c r="B23" s="23" t="s">
        <v>34</v>
      </c>
    </row>
    <row r="25" spans="1:2" x14ac:dyDescent="0.25">
      <c r="A25" s="12" t="s">
        <v>35</v>
      </c>
      <c r="B25" s="12"/>
    </row>
    <row r="26" spans="1:2" ht="30" customHeight="1" x14ac:dyDescent="0.25">
      <c r="A26" s="11" t="s">
        <v>36</v>
      </c>
      <c r="B26" s="11"/>
    </row>
    <row r="27" spans="1:2" ht="30" customHeight="1" x14ac:dyDescent="0.25">
      <c r="A27" s="11" t="s">
        <v>37</v>
      </c>
      <c r="B27" s="11"/>
    </row>
    <row r="29" spans="1:2" x14ac:dyDescent="0.25">
      <c r="A29" s="10" t="s">
        <v>38</v>
      </c>
      <c r="B29" s="10"/>
    </row>
  </sheetData>
  <mergeCells count="9">
    <mergeCell ref="A25:B25"/>
    <mergeCell ref="A26:B26"/>
    <mergeCell ref="A27:B27"/>
    <mergeCell ref="A29:B29"/>
    <mergeCell ref="A1:B1"/>
    <mergeCell ref="A2:B2"/>
    <mergeCell ref="A4:B4"/>
    <mergeCell ref="A12:B12"/>
    <mergeCell ref="A18:B18"/>
  </mergeCells>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7"/>
  <sheetViews>
    <sheetView showGridLines="0" zoomScaleNormal="100" workbookViewId="0">
      <pane xSplit="1" ySplit="7" topLeftCell="B8" activePane="bottomRight" state="frozen"/>
      <selection pane="topRight" activeCell="B1" sqref="B1"/>
      <selection pane="bottomLeft" activeCell="A8" sqref="A8"/>
      <selection pane="bottomRight" sqref="A1:D1"/>
    </sheetView>
  </sheetViews>
  <sheetFormatPr defaultColWidth="8.7109375" defaultRowHeight="15" x14ac:dyDescent="0.25"/>
  <cols>
    <col min="1" max="1" width="30" customWidth="1"/>
    <col min="2" max="4" width="14" customWidth="1"/>
  </cols>
  <sheetData>
    <row r="1" spans="1:4" ht="18" x14ac:dyDescent="0.25">
      <c r="A1" s="14" t="s">
        <v>5</v>
      </c>
      <c r="B1" s="14"/>
      <c r="C1" s="14"/>
      <c r="D1" s="14"/>
    </row>
    <row r="2" spans="1:4" x14ac:dyDescent="0.25">
      <c r="A2" s="9" t="s">
        <v>39</v>
      </c>
      <c r="B2" s="9"/>
      <c r="C2" s="9"/>
      <c r="D2" s="9"/>
    </row>
    <row r="4" spans="1:4" x14ac:dyDescent="0.25">
      <c r="A4" s="24" t="s">
        <v>40</v>
      </c>
      <c r="B4" s="8">
        <v>185000</v>
      </c>
      <c r="C4" s="8"/>
      <c r="D4" s="8"/>
    </row>
    <row r="5" spans="1:4" x14ac:dyDescent="0.25">
      <c r="A5" s="24" t="s">
        <v>41</v>
      </c>
      <c r="B5" s="8">
        <v>120000</v>
      </c>
      <c r="C5" s="8"/>
      <c r="D5" s="8"/>
    </row>
    <row r="7" spans="1:4" x14ac:dyDescent="0.25">
      <c r="A7" s="26" t="s">
        <v>42</v>
      </c>
      <c r="B7" s="27" t="s">
        <v>43</v>
      </c>
      <c r="C7" s="27" t="s">
        <v>44</v>
      </c>
      <c r="D7" s="27" t="s">
        <v>45</v>
      </c>
    </row>
    <row r="8" spans="1:4" x14ac:dyDescent="0.25">
      <c r="A8" s="28" t="s">
        <v>46</v>
      </c>
      <c r="B8" s="29">
        <v>0.02</v>
      </c>
      <c r="C8" s="29">
        <v>5.0000000000000001E-3</v>
      </c>
      <c r="D8" s="29">
        <v>-0.03</v>
      </c>
    </row>
    <row r="9" spans="1:4" x14ac:dyDescent="0.25">
      <c r="A9" s="28" t="s">
        <v>47</v>
      </c>
      <c r="B9" s="29">
        <v>0.6</v>
      </c>
      <c r="C9" s="29">
        <v>0.45</v>
      </c>
      <c r="D9" s="29">
        <v>0.3</v>
      </c>
    </row>
    <row r="10" spans="1:4" x14ac:dyDescent="0.25">
      <c r="A10" s="28" t="s">
        <v>48</v>
      </c>
      <c r="B10" s="29">
        <v>0.35</v>
      </c>
      <c r="C10" s="29">
        <v>0.4</v>
      </c>
      <c r="D10" s="29">
        <v>0.4</v>
      </c>
    </row>
    <row r="11" spans="1:4" x14ac:dyDescent="0.25">
      <c r="A11" s="28" t="s">
        <v>49</v>
      </c>
      <c r="B11" s="29">
        <v>0.05</v>
      </c>
      <c r="C11" s="29">
        <v>0.15</v>
      </c>
      <c r="D11" s="29">
        <v>0.3</v>
      </c>
    </row>
    <row r="12" spans="1:4" x14ac:dyDescent="0.25">
      <c r="A12" s="28" t="s">
        <v>50</v>
      </c>
      <c r="B12" s="29">
        <v>0</v>
      </c>
      <c r="C12" s="29">
        <v>5.0000000000000001E-3</v>
      </c>
      <c r="D12" s="29">
        <v>1.4999999999999999E-2</v>
      </c>
    </row>
    <row r="13" spans="1:4" x14ac:dyDescent="0.25">
      <c r="A13" s="28" t="s">
        <v>51</v>
      </c>
      <c r="B13" s="29">
        <v>0.4</v>
      </c>
      <c r="C13" s="29">
        <v>0.45</v>
      </c>
      <c r="D13" s="29">
        <v>0.5</v>
      </c>
    </row>
    <row r="14" spans="1:4" x14ac:dyDescent="0.25">
      <c r="A14" s="28" t="s">
        <v>52</v>
      </c>
      <c r="B14" s="30">
        <v>1.05</v>
      </c>
      <c r="C14" s="30">
        <v>1</v>
      </c>
      <c r="D14" s="30">
        <v>0.8</v>
      </c>
    </row>
    <row r="15" spans="1:4" x14ac:dyDescent="0.25">
      <c r="A15" s="28" t="s">
        <v>53</v>
      </c>
      <c r="B15" s="25">
        <v>160000</v>
      </c>
      <c r="C15" s="25">
        <v>160000</v>
      </c>
      <c r="D15" s="25">
        <v>160000</v>
      </c>
    </row>
    <row r="17" spans="1:4" x14ac:dyDescent="0.25">
      <c r="A17" s="31" t="s">
        <v>54</v>
      </c>
      <c r="B17" s="32">
        <f>SUM(B9:B11)</f>
        <v>1</v>
      </c>
      <c r="C17" s="32">
        <f>SUM(C9:C11)</f>
        <v>1</v>
      </c>
      <c r="D17" s="32">
        <f>SUM(D9:D11)</f>
        <v>1</v>
      </c>
    </row>
  </sheetData>
  <mergeCells count="4">
    <mergeCell ref="A1:D1"/>
    <mergeCell ref="A2:D2"/>
    <mergeCell ref="B4:D4"/>
    <mergeCell ref="B5:D5"/>
  </mergeCells>
  <pageMargins left="0.4" right="0.4" top="0.5" bottom="0.5"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6"/>
  <sheetViews>
    <sheetView showGridLines="0" zoomScaleNormal="100" workbookViewId="0">
      <pane xSplit="1" ySplit="16" topLeftCell="B35" activePane="bottomRight" state="frozen"/>
      <selection pane="topRight" activeCell="B1" sqref="B1"/>
      <selection pane="bottomLeft" activeCell="A17" sqref="A17"/>
      <selection pane="bottomRight" sqref="A1:N1"/>
    </sheetView>
  </sheetViews>
  <sheetFormatPr defaultColWidth="8.7109375" defaultRowHeight="15" x14ac:dyDescent="0.25"/>
  <cols>
    <col min="1" max="1" width="34" customWidth="1"/>
    <col min="2" max="14" width="11" customWidth="1"/>
  </cols>
  <sheetData>
    <row r="1" spans="1:14" ht="18" x14ac:dyDescent="0.25">
      <c r="A1" s="14" t="s">
        <v>55</v>
      </c>
      <c r="B1" s="14"/>
      <c r="C1" s="14"/>
      <c r="D1" s="14"/>
      <c r="E1" s="14"/>
      <c r="F1" s="14"/>
      <c r="G1" s="14"/>
      <c r="H1" s="14"/>
      <c r="I1" s="14"/>
      <c r="J1" s="14"/>
      <c r="K1" s="14"/>
      <c r="L1" s="14"/>
      <c r="M1" s="14"/>
      <c r="N1" s="14"/>
    </row>
    <row r="2" spans="1:14" x14ac:dyDescent="0.25">
      <c r="A2" s="24" t="s">
        <v>56</v>
      </c>
      <c r="B2" s="33" t="s">
        <v>44</v>
      </c>
      <c r="D2" s="24" t="s">
        <v>57</v>
      </c>
      <c r="E2" s="34">
        <v>46255</v>
      </c>
    </row>
    <row r="4" spans="1:14" x14ac:dyDescent="0.25">
      <c r="A4" s="7" t="s">
        <v>58</v>
      </c>
      <c r="B4" s="7"/>
      <c r="C4" s="7"/>
      <c r="D4" s="7"/>
      <c r="E4" s="7"/>
      <c r="F4" s="7"/>
      <c r="G4" s="7"/>
      <c r="H4" s="7"/>
      <c r="I4" s="7"/>
      <c r="J4" s="7"/>
      <c r="K4" s="7"/>
      <c r="L4" s="7"/>
      <c r="M4" s="7"/>
      <c r="N4" s="7"/>
    </row>
    <row r="5" spans="1:14" x14ac:dyDescent="0.25">
      <c r="A5" s="28" t="s">
        <v>59</v>
      </c>
      <c r="B5" s="35">
        <f>INDEX('Scenario Inputs'!$B$8:$D$8,MATCH($B$2,'Scenario Inputs'!$B$7:$D$7,0))</f>
        <v>5.0000000000000001E-3</v>
      </c>
    </row>
    <row r="6" spans="1:14" x14ac:dyDescent="0.25">
      <c r="A6" s="28" t="s">
        <v>60</v>
      </c>
      <c r="B6" s="35">
        <f>INDEX('Scenario Inputs'!$B$9:$D$9,MATCH($B$2,'Scenario Inputs'!$B$7:$D$7,0))</f>
        <v>0.45</v>
      </c>
    </row>
    <row r="7" spans="1:14" x14ac:dyDescent="0.25">
      <c r="A7" s="28" t="s">
        <v>61</v>
      </c>
      <c r="B7" s="35">
        <f>INDEX('Scenario Inputs'!$B$10:$D$10,MATCH($B$2,'Scenario Inputs'!$B$7:$D$7,0))</f>
        <v>0.4</v>
      </c>
    </row>
    <row r="8" spans="1:14" x14ac:dyDescent="0.25">
      <c r="A8" s="28" t="s">
        <v>62</v>
      </c>
      <c r="B8" s="35">
        <f>INDEX('Scenario Inputs'!$B$11:$D$11,MATCH($B$2,'Scenario Inputs'!$B$7:$D$7,0))</f>
        <v>0.15</v>
      </c>
    </row>
    <row r="9" spans="1:14" x14ac:dyDescent="0.25">
      <c r="A9" s="28" t="s">
        <v>63</v>
      </c>
      <c r="B9" s="35">
        <f>INDEX('Scenario Inputs'!$B$12:$D$12,MATCH($B$2,'Scenario Inputs'!$B$7:$D$7,0))</f>
        <v>5.0000000000000001E-3</v>
      </c>
    </row>
    <row r="10" spans="1:14" x14ac:dyDescent="0.25">
      <c r="A10" s="28" t="s">
        <v>64</v>
      </c>
      <c r="B10" s="35">
        <f>INDEX('Scenario Inputs'!$B$13:$D$13,MATCH($B$2,'Scenario Inputs'!$B$7:$D$7,0))</f>
        <v>0.45</v>
      </c>
    </row>
    <row r="11" spans="1:14" x14ac:dyDescent="0.25">
      <c r="A11" s="28" t="s">
        <v>52</v>
      </c>
      <c r="B11" s="36">
        <f>INDEX('Scenario Inputs'!$B$14:$D$14,MATCH($B$2,'Scenario Inputs'!$B$7:$D$7,0))</f>
        <v>1</v>
      </c>
    </row>
    <row r="12" spans="1:14" x14ac:dyDescent="0.25">
      <c r="A12" s="28" t="s">
        <v>65</v>
      </c>
      <c r="B12" s="37">
        <f>INDEX('Scenario Inputs'!$B$15:$D$15,MATCH($B$2,'Scenario Inputs'!$B$7:$D$7,0))</f>
        <v>160000</v>
      </c>
    </row>
    <row r="14" spans="1:14" x14ac:dyDescent="0.25">
      <c r="A14" s="7" t="s">
        <v>66</v>
      </c>
      <c r="B14" s="7"/>
      <c r="C14" s="7"/>
      <c r="D14" s="7"/>
      <c r="E14" s="7"/>
      <c r="F14" s="7"/>
      <c r="G14" s="7"/>
      <c r="H14" s="7"/>
      <c r="I14" s="7"/>
      <c r="J14" s="7"/>
      <c r="K14" s="7"/>
      <c r="L14" s="7"/>
      <c r="M14" s="7"/>
      <c r="N14" s="7"/>
    </row>
    <row r="15" spans="1:14" x14ac:dyDescent="0.25">
      <c r="A15" s="24" t="s">
        <v>67</v>
      </c>
      <c r="B15" s="38">
        <f>$E$2</f>
        <v>46255</v>
      </c>
      <c r="C15" s="38">
        <f t="shared" ref="C15:N15" si="0">B15+7</f>
        <v>46262</v>
      </c>
      <c r="D15" s="38">
        <f t="shared" si="0"/>
        <v>46269</v>
      </c>
      <c r="E15" s="38">
        <f t="shared" si="0"/>
        <v>46276</v>
      </c>
      <c r="F15" s="38">
        <f t="shared" si="0"/>
        <v>46283</v>
      </c>
      <c r="G15" s="38">
        <f t="shared" si="0"/>
        <v>46290</v>
      </c>
      <c r="H15" s="38">
        <f t="shared" si="0"/>
        <v>46297</v>
      </c>
      <c r="I15" s="38">
        <f t="shared" si="0"/>
        <v>46304</v>
      </c>
      <c r="J15" s="38">
        <f t="shared" si="0"/>
        <v>46311</v>
      </c>
      <c r="K15" s="38">
        <f t="shared" si="0"/>
        <v>46318</v>
      </c>
      <c r="L15" s="38">
        <f t="shared" si="0"/>
        <v>46325</v>
      </c>
      <c r="M15" s="38">
        <f t="shared" si="0"/>
        <v>46332</v>
      </c>
      <c r="N15" s="38">
        <f t="shared" si="0"/>
        <v>46339</v>
      </c>
    </row>
    <row r="16" spans="1:14" x14ac:dyDescent="0.25">
      <c r="A16" s="24" t="s">
        <v>68</v>
      </c>
      <c r="B16" s="39">
        <v>1</v>
      </c>
      <c r="C16" s="39">
        <f t="shared" ref="C16:N16" si="1">B16+1</f>
        <v>2</v>
      </c>
      <c r="D16" s="39">
        <f t="shared" si="1"/>
        <v>3</v>
      </c>
      <c r="E16" s="39">
        <f t="shared" si="1"/>
        <v>4</v>
      </c>
      <c r="F16" s="39">
        <f t="shared" si="1"/>
        <v>5</v>
      </c>
      <c r="G16" s="39">
        <f t="shared" si="1"/>
        <v>6</v>
      </c>
      <c r="H16" s="39">
        <f t="shared" si="1"/>
        <v>7</v>
      </c>
      <c r="I16" s="39">
        <f t="shared" si="1"/>
        <v>8</v>
      </c>
      <c r="J16" s="39">
        <f t="shared" si="1"/>
        <v>9</v>
      </c>
      <c r="K16" s="39">
        <f t="shared" si="1"/>
        <v>10</v>
      </c>
      <c r="L16" s="39">
        <f t="shared" si="1"/>
        <v>11</v>
      </c>
      <c r="M16" s="39">
        <f t="shared" si="1"/>
        <v>12</v>
      </c>
      <c r="N16" s="39">
        <f t="shared" si="1"/>
        <v>13</v>
      </c>
    </row>
    <row r="18" spans="1:14" x14ac:dyDescent="0.25">
      <c r="A18" s="7" t="s">
        <v>69</v>
      </c>
      <c r="B18" s="7"/>
      <c r="C18" s="7"/>
      <c r="D18" s="7"/>
      <c r="E18" s="7"/>
      <c r="F18" s="7"/>
      <c r="G18" s="7"/>
      <c r="H18" s="7"/>
      <c r="I18" s="7"/>
      <c r="J18" s="7"/>
      <c r="K18" s="7"/>
      <c r="L18" s="7"/>
      <c r="M18" s="7"/>
      <c r="N18" s="7"/>
    </row>
    <row r="19" spans="1:14" x14ac:dyDescent="0.25">
      <c r="A19" s="24" t="s">
        <v>70</v>
      </c>
      <c r="B19" s="40">
        <f>'Scenario Inputs'!$B$4</f>
        <v>185000</v>
      </c>
      <c r="C19" s="40">
        <f t="shared" ref="C19:N19" si="2">B41</f>
        <v>190500</v>
      </c>
      <c r="D19" s="40">
        <f t="shared" si="2"/>
        <v>196095</v>
      </c>
      <c r="E19" s="40">
        <f t="shared" si="2"/>
        <v>201755.47500000003</v>
      </c>
      <c r="F19" s="40">
        <f t="shared" si="2"/>
        <v>207571.75237500004</v>
      </c>
      <c r="G19" s="40">
        <f t="shared" si="2"/>
        <v>213544.61113687503</v>
      </c>
      <c r="H19" s="40">
        <f t="shared" si="2"/>
        <v>204674.83419255941</v>
      </c>
      <c r="I19" s="40">
        <f t="shared" si="2"/>
        <v>210963.20836352219</v>
      </c>
      <c r="J19" s="40">
        <f t="shared" si="2"/>
        <v>217410.52440533979</v>
      </c>
      <c r="K19" s="40">
        <f t="shared" si="2"/>
        <v>216017.57702736647</v>
      </c>
      <c r="L19" s="40">
        <f t="shared" si="2"/>
        <v>222785.16491250327</v>
      </c>
      <c r="M19" s="40">
        <f t="shared" si="2"/>
        <v>229714.09073706577</v>
      </c>
      <c r="N19" s="40">
        <f t="shared" si="2"/>
        <v>236805.16119075107</v>
      </c>
    </row>
    <row r="21" spans="1:14" x14ac:dyDescent="0.25">
      <c r="A21" s="7" t="s">
        <v>71</v>
      </c>
      <c r="B21" s="7"/>
      <c r="C21" s="7"/>
      <c r="D21" s="7"/>
      <c r="E21" s="7"/>
      <c r="F21" s="7"/>
      <c r="G21" s="7"/>
      <c r="H21" s="7"/>
      <c r="I21" s="7"/>
      <c r="J21" s="7"/>
      <c r="K21" s="7"/>
      <c r="L21" s="7"/>
      <c r="M21" s="7"/>
      <c r="N21" s="7"/>
    </row>
    <row r="22" spans="1:14" x14ac:dyDescent="0.25">
      <c r="A22" s="41" t="s">
        <v>72</v>
      </c>
      <c r="B22" s="42">
        <f>'Scenario Inputs'!$B$5</f>
        <v>120000</v>
      </c>
      <c r="C22" s="42">
        <f t="shared" ref="C22:N22" si="3">B22*(1+$B$5)</f>
        <v>120599.99999999999</v>
      </c>
      <c r="D22" s="42">
        <f t="shared" si="3"/>
        <v>121202.99999999997</v>
      </c>
      <c r="E22" s="42">
        <f t="shared" si="3"/>
        <v>121809.01499999996</v>
      </c>
      <c r="F22" s="42">
        <f t="shared" si="3"/>
        <v>122418.06007499994</v>
      </c>
      <c r="G22" s="42">
        <f t="shared" si="3"/>
        <v>123030.15037537493</v>
      </c>
      <c r="H22" s="42">
        <f t="shared" si="3"/>
        <v>123645.30112725179</v>
      </c>
      <c r="I22" s="42">
        <f t="shared" si="3"/>
        <v>124263.52763288804</v>
      </c>
      <c r="J22" s="42">
        <f t="shared" si="3"/>
        <v>124884.84527105247</v>
      </c>
      <c r="K22" s="42">
        <f t="shared" si="3"/>
        <v>125509.26949740772</v>
      </c>
      <c r="L22" s="42">
        <f t="shared" si="3"/>
        <v>126136.81584489474</v>
      </c>
      <c r="M22" s="42">
        <f t="shared" si="3"/>
        <v>126767.4999241192</v>
      </c>
      <c r="N22" s="42">
        <f t="shared" si="3"/>
        <v>127401.33742373978</v>
      </c>
    </row>
    <row r="23" spans="1:14" x14ac:dyDescent="0.25">
      <c r="A23" s="41" t="s">
        <v>73</v>
      </c>
      <c r="B23" s="42">
        <f t="shared" ref="B23:N23" si="4">B22*$B$6</f>
        <v>54000</v>
      </c>
      <c r="C23" s="42">
        <f t="shared" si="4"/>
        <v>54269.999999999993</v>
      </c>
      <c r="D23" s="42">
        <f t="shared" si="4"/>
        <v>54541.349999999991</v>
      </c>
      <c r="E23" s="42">
        <f t="shared" si="4"/>
        <v>54814.056749999982</v>
      </c>
      <c r="F23" s="42">
        <f t="shared" si="4"/>
        <v>55088.127033749974</v>
      </c>
      <c r="G23" s="42">
        <f t="shared" si="4"/>
        <v>55363.567668918717</v>
      </c>
      <c r="H23" s="42">
        <f t="shared" si="4"/>
        <v>55640.385507263309</v>
      </c>
      <c r="I23" s="42">
        <f t="shared" si="4"/>
        <v>55918.587434799621</v>
      </c>
      <c r="J23" s="42">
        <f t="shared" si="4"/>
        <v>56198.180371973613</v>
      </c>
      <c r="K23" s="42">
        <f t="shared" si="4"/>
        <v>56479.171273833475</v>
      </c>
      <c r="L23" s="42">
        <f t="shared" si="4"/>
        <v>56761.567130202631</v>
      </c>
      <c r="M23" s="42">
        <f t="shared" si="4"/>
        <v>57045.37496585364</v>
      </c>
      <c r="N23" s="42">
        <f t="shared" si="4"/>
        <v>57330.601840682903</v>
      </c>
    </row>
    <row r="24" spans="1:14" x14ac:dyDescent="0.25">
      <c r="A24" s="41" t="s">
        <v>74</v>
      </c>
      <c r="B24" s="42">
        <f>'Scenario Inputs'!$B$5*$B$7</f>
        <v>48000</v>
      </c>
      <c r="C24" s="42">
        <f t="shared" ref="C24:N24" si="5">B22*$B$7</f>
        <v>48000</v>
      </c>
      <c r="D24" s="42">
        <f t="shared" si="5"/>
        <v>48240</v>
      </c>
      <c r="E24" s="42">
        <f t="shared" si="5"/>
        <v>48481.19999999999</v>
      </c>
      <c r="F24" s="42">
        <f t="shared" si="5"/>
        <v>48723.605999999985</v>
      </c>
      <c r="G24" s="42">
        <f t="shared" si="5"/>
        <v>48967.224029999983</v>
      </c>
      <c r="H24" s="42">
        <f t="shared" si="5"/>
        <v>49212.060150149977</v>
      </c>
      <c r="I24" s="42">
        <f t="shared" si="5"/>
        <v>49458.120450900722</v>
      </c>
      <c r="J24" s="42">
        <f t="shared" si="5"/>
        <v>49705.411053155221</v>
      </c>
      <c r="K24" s="42">
        <f t="shared" si="5"/>
        <v>49953.938108420989</v>
      </c>
      <c r="L24" s="42">
        <f t="shared" si="5"/>
        <v>50203.707798963093</v>
      </c>
      <c r="M24" s="42">
        <f t="shared" si="5"/>
        <v>50454.726337957894</v>
      </c>
      <c r="N24" s="42">
        <f t="shared" si="5"/>
        <v>50706.999969647681</v>
      </c>
    </row>
    <row r="25" spans="1:14" x14ac:dyDescent="0.25">
      <c r="A25" s="41" t="s">
        <v>75</v>
      </c>
      <c r="B25" s="42">
        <f>'Scenario Inputs'!$B$5*$B$8</f>
        <v>18000</v>
      </c>
      <c r="C25" s="42">
        <f>'Scenario Inputs'!$B$5*$B$8</f>
        <v>18000</v>
      </c>
      <c r="D25" s="42">
        <f t="shared" ref="D25:N25" si="6">B22*$B$8</f>
        <v>18000</v>
      </c>
      <c r="E25" s="42">
        <f t="shared" si="6"/>
        <v>18089.999999999996</v>
      </c>
      <c r="F25" s="42">
        <f t="shared" si="6"/>
        <v>18180.449999999993</v>
      </c>
      <c r="G25" s="42">
        <f t="shared" si="6"/>
        <v>18271.352249999993</v>
      </c>
      <c r="H25" s="42">
        <f t="shared" si="6"/>
        <v>18362.70901124999</v>
      </c>
      <c r="I25" s="42">
        <f t="shared" si="6"/>
        <v>18454.522556306238</v>
      </c>
      <c r="J25" s="42">
        <f t="shared" si="6"/>
        <v>18546.795169087767</v>
      </c>
      <c r="K25" s="42">
        <f t="shared" si="6"/>
        <v>18639.529144933207</v>
      </c>
      <c r="L25" s="42">
        <f t="shared" si="6"/>
        <v>18732.726790657871</v>
      </c>
      <c r="M25" s="42">
        <f t="shared" si="6"/>
        <v>18826.390424611156</v>
      </c>
      <c r="N25" s="42">
        <f t="shared" si="6"/>
        <v>18920.52237673421</v>
      </c>
    </row>
    <row r="26" spans="1:14" x14ac:dyDescent="0.25">
      <c r="A26" s="41" t="s">
        <v>76</v>
      </c>
      <c r="B26" s="43">
        <v>2000</v>
      </c>
      <c r="C26" s="43">
        <v>2000</v>
      </c>
      <c r="D26" s="43">
        <v>2000</v>
      </c>
      <c r="E26" s="43">
        <v>2000</v>
      </c>
      <c r="F26" s="43">
        <v>2000</v>
      </c>
      <c r="G26" s="43">
        <v>2000</v>
      </c>
      <c r="H26" s="43">
        <v>2000</v>
      </c>
      <c r="I26" s="43">
        <v>2000</v>
      </c>
      <c r="J26" s="43">
        <v>2000</v>
      </c>
      <c r="K26" s="43">
        <v>2000</v>
      </c>
      <c r="L26" s="43">
        <v>2000</v>
      </c>
      <c r="M26" s="43">
        <v>2000</v>
      </c>
      <c r="N26" s="43">
        <v>2000</v>
      </c>
    </row>
    <row r="27" spans="1:14" x14ac:dyDescent="0.25">
      <c r="A27" s="24" t="s">
        <v>77</v>
      </c>
      <c r="B27" s="40">
        <f t="shared" ref="B27:N27" si="7">SUM(B23:B26)</f>
        <v>122000</v>
      </c>
      <c r="C27" s="40">
        <f t="shared" si="7"/>
        <v>122270</v>
      </c>
      <c r="D27" s="40">
        <f t="shared" si="7"/>
        <v>122781.34999999999</v>
      </c>
      <c r="E27" s="40">
        <f t="shared" si="7"/>
        <v>123385.25674999997</v>
      </c>
      <c r="F27" s="40">
        <f t="shared" si="7"/>
        <v>123992.18303374996</v>
      </c>
      <c r="G27" s="40">
        <f t="shared" si="7"/>
        <v>124602.1439489187</v>
      </c>
      <c r="H27" s="40">
        <f t="shared" si="7"/>
        <v>125215.15466866326</v>
      </c>
      <c r="I27" s="40">
        <f t="shared" si="7"/>
        <v>125831.23044200658</v>
      </c>
      <c r="J27" s="40">
        <f t="shared" si="7"/>
        <v>126450.3865942166</v>
      </c>
      <c r="K27" s="40">
        <f t="shared" si="7"/>
        <v>127072.63852718766</v>
      </c>
      <c r="L27" s="40">
        <f t="shared" si="7"/>
        <v>127698.0017198236</v>
      </c>
      <c r="M27" s="40">
        <f t="shared" si="7"/>
        <v>128326.4917284227</v>
      </c>
      <c r="N27" s="40">
        <f t="shared" si="7"/>
        <v>128958.12418706479</v>
      </c>
    </row>
    <row r="29" spans="1:14" x14ac:dyDescent="0.25">
      <c r="A29" s="7" t="s">
        <v>78</v>
      </c>
      <c r="B29" s="7"/>
      <c r="C29" s="7"/>
      <c r="D29" s="7"/>
      <c r="E29" s="7"/>
      <c r="F29" s="7"/>
      <c r="G29" s="7"/>
      <c r="H29" s="7"/>
      <c r="I29" s="7"/>
      <c r="J29" s="7"/>
      <c r="K29" s="7"/>
      <c r="L29" s="7"/>
      <c r="M29" s="7"/>
      <c r="N29" s="7"/>
    </row>
    <row r="30" spans="1:14" x14ac:dyDescent="0.25">
      <c r="A30" s="41" t="s">
        <v>79</v>
      </c>
      <c r="B30" s="43">
        <f>35000</f>
        <v>35000</v>
      </c>
      <c r="C30" s="42">
        <f t="shared" ref="C30:N30" si="8">B30*(1+$B$9)</f>
        <v>35174.999999999993</v>
      </c>
      <c r="D30" s="42">
        <f t="shared" si="8"/>
        <v>35350.874999999985</v>
      </c>
      <c r="E30" s="42">
        <f t="shared" si="8"/>
        <v>35527.629374999982</v>
      </c>
      <c r="F30" s="42">
        <f t="shared" si="8"/>
        <v>35705.267521874979</v>
      </c>
      <c r="G30" s="42">
        <f t="shared" si="8"/>
        <v>35883.793859484351</v>
      </c>
      <c r="H30" s="42">
        <f t="shared" si="8"/>
        <v>36063.212828781769</v>
      </c>
      <c r="I30" s="42">
        <f t="shared" si="8"/>
        <v>36243.528892925671</v>
      </c>
      <c r="J30" s="42">
        <f t="shared" si="8"/>
        <v>36424.746537390296</v>
      </c>
      <c r="K30" s="42">
        <f t="shared" si="8"/>
        <v>36606.870270077241</v>
      </c>
      <c r="L30" s="42">
        <f t="shared" si="8"/>
        <v>36789.904621427624</v>
      </c>
      <c r="M30" s="42">
        <f t="shared" si="8"/>
        <v>36973.854144534758</v>
      </c>
      <c r="N30" s="42">
        <f t="shared" si="8"/>
        <v>37158.723415257431</v>
      </c>
    </row>
    <row r="31" spans="1:14" x14ac:dyDescent="0.25">
      <c r="A31" s="41" t="s">
        <v>80</v>
      </c>
      <c r="B31" s="43">
        <v>6000</v>
      </c>
      <c r="C31" s="43">
        <v>6000</v>
      </c>
      <c r="D31" s="43">
        <v>6000</v>
      </c>
      <c r="E31" s="43">
        <v>6000</v>
      </c>
      <c r="F31" s="43">
        <v>6000</v>
      </c>
      <c r="G31" s="43">
        <v>6000</v>
      </c>
      <c r="H31" s="43">
        <v>6000</v>
      </c>
      <c r="I31" s="43">
        <v>6000</v>
      </c>
      <c r="J31" s="43">
        <v>6000</v>
      </c>
      <c r="K31" s="43">
        <v>6000</v>
      </c>
      <c r="L31" s="43">
        <v>6000</v>
      </c>
      <c r="M31" s="43">
        <v>6000</v>
      </c>
      <c r="N31" s="43">
        <v>6000</v>
      </c>
    </row>
    <row r="32" spans="1:14" x14ac:dyDescent="0.25">
      <c r="A32" s="41" t="s">
        <v>81</v>
      </c>
      <c r="B32" s="42">
        <f>'Scenario Inputs'!$B$5*$B$10</f>
        <v>54000</v>
      </c>
      <c r="C32" s="42">
        <f t="shared" ref="C32:N32" si="9">B22*$B$10</f>
        <v>54000</v>
      </c>
      <c r="D32" s="42">
        <f t="shared" si="9"/>
        <v>54269.999999999993</v>
      </c>
      <c r="E32" s="42">
        <f t="shared" si="9"/>
        <v>54541.349999999991</v>
      </c>
      <c r="F32" s="42">
        <f t="shared" si="9"/>
        <v>54814.056749999982</v>
      </c>
      <c r="G32" s="42">
        <f t="shared" si="9"/>
        <v>55088.127033749974</v>
      </c>
      <c r="H32" s="42">
        <f t="shared" si="9"/>
        <v>55363.567668918717</v>
      </c>
      <c r="I32" s="42">
        <f t="shared" si="9"/>
        <v>55640.385507263309</v>
      </c>
      <c r="J32" s="42">
        <f t="shared" si="9"/>
        <v>55918.587434799621</v>
      </c>
      <c r="K32" s="42">
        <f t="shared" si="9"/>
        <v>56198.180371973613</v>
      </c>
      <c r="L32" s="42">
        <f t="shared" si="9"/>
        <v>56479.171273833475</v>
      </c>
      <c r="M32" s="42">
        <f t="shared" si="9"/>
        <v>56761.567130202631</v>
      </c>
      <c r="N32" s="42">
        <f t="shared" si="9"/>
        <v>57045.37496585364</v>
      </c>
    </row>
    <row r="33" spans="1:14" x14ac:dyDescent="0.25">
      <c r="A33" s="41" t="s">
        <v>82</v>
      </c>
      <c r="B33" s="43">
        <v>0</v>
      </c>
      <c r="C33" s="43">
        <v>0</v>
      </c>
      <c r="D33" s="43">
        <v>0</v>
      </c>
      <c r="E33" s="43">
        <v>0</v>
      </c>
      <c r="F33" s="43">
        <v>0</v>
      </c>
      <c r="G33" s="43">
        <v>15000</v>
      </c>
      <c r="H33" s="43">
        <v>0</v>
      </c>
      <c r="I33" s="43">
        <v>0</v>
      </c>
      <c r="J33" s="43">
        <v>0</v>
      </c>
      <c r="K33" s="43">
        <v>0</v>
      </c>
      <c r="L33" s="43">
        <v>0</v>
      </c>
      <c r="M33" s="43">
        <v>0</v>
      </c>
      <c r="N33" s="43">
        <v>0</v>
      </c>
    </row>
    <row r="34" spans="1:14" x14ac:dyDescent="0.25">
      <c r="A34" s="41" t="s">
        <v>83</v>
      </c>
      <c r="B34" s="43">
        <v>3500</v>
      </c>
      <c r="C34" s="43">
        <v>3500</v>
      </c>
      <c r="D34" s="43">
        <v>3500</v>
      </c>
      <c r="E34" s="43">
        <v>3500</v>
      </c>
      <c r="F34" s="43">
        <v>3500</v>
      </c>
      <c r="G34" s="43">
        <v>3500</v>
      </c>
      <c r="H34" s="43">
        <v>3500</v>
      </c>
      <c r="I34" s="43">
        <v>3500</v>
      </c>
      <c r="J34" s="43">
        <v>3500</v>
      </c>
      <c r="K34" s="43">
        <v>3500</v>
      </c>
      <c r="L34" s="43">
        <v>3500</v>
      </c>
      <c r="M34" s="43">
        <v>3500</v>
      </c>
      <c r="N34" s="43">
        <v>3500</v>
      </c>
    </row>
    <row r="35" spans="1:14" x14ac:dyDescent="0.25">
      <c r="A35" s="41" t="s">
        <v>84</v>
      </c>
      <c r="B35" s="43">
        <f>18000</f>
        <v>18000</v>
      </c>
      <c r="C35" s="42">
        <f t="shared" ref="C35:N35" si="10">B35*$B$11</f>
        <v>18000</v>
      </c>
      <c r="D35" s="42">
        <f t="shared" si="10"/>
        <v>18000</v>
      </c>
      <c r="E35" s="42">
        <f t="shared" si="10"/>
        <v>18000</v>
      </c>
      <c r="F35" s="42">
        <f t="shared" si="10"/>
        <v>18000</v>
      </c>
      <c r="G35" s="42">
        <f t="shared" si="10"/>
        <v>18000</v>
      </c>
      <c r="H35" s="42">
        <f t="shared" si="10"/>
        <v>18000</v>
      </c>
      <c r="I35" s="42">
        <f t="shared" si="10"/>
        <v>18000</v>
      </c>
      <c r="J35" s="42">
        <f t="shared" si="10"/>
        <v>18000</v>
      </c>
      <c r="K35" s="42">
        <f t="shared" si="10"/>
        <v>18000</v>
      </c>
      <c r="L35" s="42">
        <f t="shared" si="10"/>
        <v>18000</v>
      </c>
      <c r="M35" s="42">
        <f t="shared" si="10"/>
        <v>18000</v>
      </c>
      <c r="N35" s="42">
        <f t="shared" si="10"/>
        <v>18000</v>
      </c>
    </row>
    <row r="36" spans="1:14" x14ac:dyDescent="0.25">
      <c r="A36" s="41" t="s">
        <v>85</v>
      </c>
      <c r="B36" s="43">
        <v>0</v>
      </c>
      <c r="C36" s="43">
        <v>0</v>
      </c>
      <c r="D36" s="43">
        <v>0</v>
      </c>
      <c r="E36" s="43">
        <v>0</v>
      </c>
      <c r="F36" s="43">
        <v>0</v>
      </c>
      <c r="G36" s="43">
        <v>0</v>
      </c>
      <c r="H36" s="43">
        <v>0</v>
      </c>
      <c r="I36" s="43">
        <v>0</v>
      </c>
      <c r="J36" s="43">
        <v>8000</v>
      </c>
      <c r="K36" s="43">
        <v>0</v>
      </c>
      <c r="L36" s="43">
        <v>0</v>
      </c>
      <c r="M36" s="43">
        <v>0</v>
      </c>
      <c r="N36" s="43">
        <v>0</v>
      </c>
    </row>
    <row r="37" spans="1:14" x14ac:dyDescent="0.25">
      <c r="A37" s="24" t="s">
        <v>86</v>
      </c>
      <c r="B37" s="40">
        <f t="shared" ref="B37:N37" si="11">SUM(B30:B36)</f>
        <v>116500</v>
      </c>
      <c r="C37" s="40">
        <f t="shared" si="11"/>
        <v>116675</v>
      </c>
      <c r="D37" s="40">
        <f t="shared" si="11"/>
        <v>117120.87499999997</v>
      </c>
      <c r="E37" s="40">
        <f t="shared" si="11"/>
        <v>117568.97937499997</v>
      </c>
      <c r="F37" s="40">
        <f t="shared" si="11"/>
        <v>118019.32427187497</v>
      </c>
      <c r="G37" s="40">
        <f t="shared" si="11"/>
        <v>133471.92089323432</v>
      </c>
      <c r="H37" s="40">
        <f t="shared" si="11"/>
        <v>118926.78049770049</v>
      </c>
      <c r="I37" s="40">
        <f t="shared" si="11"/>
        <v>119383.91440018898</v>
      </c>
      <c r="J37" s="40">
        <f t="shared" si="11"/>
        <v>127843.33397218992</v>
      </c>
      <c r="K37" s="40">
        <f t="shared" si="11"/>
        <v>120305.05064205086</v>
      </c>
      <c r="L37" s="40">
        <f t="shared" si="11"/>
        <v>120769.07589526111</v>
      </c>
      <c r="M37" s="40">
        <f t="shared" si="11"/>
        <v>121235.4212747374</v>
      </c>
      <c r="N37" s="40">
        <f t="shared" si="11"/>
        <v>121704.09838111108</v>
      </c>
    </row>
    <row r="39" spans="1:14" x14ac:dyDescent="0.25">
      <c r="A39" s="7" t="s">
        <v>87</v>
      </c>
      <c r="B39" s="7"/>
      <c r="C39" s="7"/>
      <c r="D39" s="7"/>
      <c r="E39" s="7"/>
      <c r="F39" s="7"/>
      <c r="G39" s="7"/>
      <c r="H39" s="7"/>
      <c r="I39" s="7"/>
      <c r="J39" s="7"/>
      <c r="K39" s="7"/>
      <c r="L39" s="7"/>
      <c r="M39" s="7"/>
      <c r="N39" s="7"/>
    </row>
    <row r="40" spans="1:14" x14ac:dyDescent="0.25">
      <c r="A40" s="24" t="s">
        <v>88</v>
      </c>
      <c r="B40" s="40">
        <f t="shared" ref="B40:N40" si="12">B27-B37</f>
        <v>5500</v>
      </c>
      <c r="C40" s="40">
        <f t="shared" si="12"/>
        <v>5595</v>
      </c>
      <c r="D40" s="40">
        <f t="shared" si="12"/>
        <v>5660.4750000000204</v>
      </c>
      <c r="E40" s="40">
        <f t="shared" si="12"/>
        <v>5816.2773750000051</v>
      </c>
      <c r="F40" s="40">
        <f t="shared" si="12"/>
        <v>5972.858761874988</v>
      </c>
      <c r="G40" s="40">
        <f t="shared" si="12"/>
        <v>-8869.7769443156139</v>
      </c>
      <c r="H40" s="40">
        <f t="shared" si="12"/>
        <v>6288.3741709627793</v>
      </c>
      <c r="I40" s="40">
        <f t="shared" si="12"/>
        <v>6447.3160418175976</v>
      </c>
      <c r="J40" s="40">
        <f t="shared" si="12"/>
        <v>-1392.9473779733235</v>
      </c>
      <c r="K40" s="40">
        <f t="shared" si="12"/>
        <v>6767.5878851368034</v>
      </c>
      <c r="L40" s="40">
        <f t="shared" si="12"/>
        <v>6928.9258245624951</v>
      </c>
      <c r="M40" s="40">
        <f t="shared" si="12"/>
        <v>7091.0704536853009</v>
      </c>
      <c r="N40" s="40">
        <f t="shared" si="12"/>
        <v>7254.0258059537155</v>
      </c>
    </row>
    <row r="41" spans="1:14" x14ac:dyDescent="0.25">
      <c r="A41" s="24" t="s">
        <v>89</v>
      </c>
      <c r="B41" s="44">
        <f t="shared" ref="B41:N41" si="13">B19+B40</f>
        <v>190500</v>
      </c>
      <c r="C41" s="44">
        <f t="shared" si="13"/>
        <v>196095</v>
      </c>
      <c r="D41" s="44">
        <f t="shared" si="13"/>
        <v>201755.47500000003</v>
      </c>
      <c r="E41" s="44">
        <f t="shared" si="13"/>
        <v>207571.75237500004</v>
      </c>
      <c r="F41" s="44">
        <f t="shared" si="13"/>
        <v>213544.61113687503</v>
      </c>
      <c r="G41" s="44">
        <f t="shared" si="13"/>
        <v>204674.83419255941</v>
      </c>
      <c r="H41" s="44">
        <f t="shared" si="13"/>
        <v>210963.20836352219</v>
      </c>
      <c r="I41" s="44">
        <f t="shared" si="13"/>
        <v>217410.52440533979</v>
      </c>
      <c r="J41" s="44">
        <f t="shared" si="13"/>
        <v>216017.57702736647</v>
      </c>
      <c r="K41" s="44">
        <f t="shared" si="13"/>
        <v>222785.16491250327</v>
      </c>
      <c r="L41" s="44">
        <f t="shared" si="13"/>
        <v>229714.09073706577</v>
      </c>
      <c r="M41" s="44">
        <f t="shared" si="13"/>
        <v>236805.16119075107</v>
      </c>
      <c r="N41" s="44">
        <f t="shared" si="13"/>
        <v>244059.18699670478</v>
      </c>
    </row>
    <row r="43" spans="1:14" x14ac:dyDescent="0.25">
      <c r="A43" s="7" t="s">
        <v>90</v>
      </c>
      <c r="B43" s="7"/>
      <c r="C43" s="7"/>
      <c r="D43" s="7"/>
      <c r="E43" s="7"/>
      <c r="F43" s="7"/>
      <c r="G43" s="7"/>
      <c r="H43" s="7"/>
      <c r="I43" s="7"/>
      <c r="J43" s="7"/>
      <c r="K43" s="7"/>
      <c r="L43" s="7"/>
      <c r="M43" s="7"/>
      <c r="N43" s="7"/>
    </row>
    <row r="44" spans="1:14" x14ac:dyDescent="0.25">
      <c r="A44" s="24" t="s">
        <v>65</v>
      </c>
      <c r="B44" s="42">
        <f t="shared" ref="B44:N44" si="14">$B$12</f>
        <v>160000</v>
      </c>
      <c r="C44" s="42">
        <f t="shared" si="14"/>
        <v>160000</v>
      </c>
      <c r="D44" s="42">
        <f t="shared" si="14"/>
        <v>160000</v>
      </c>
      <c r="E44" s="42">
        <f t="shared" si="14"/>
        <v>160000</v>
      </c>
      <c r="F44" s="42">
        <f t="shared" si="14"/>
        <v>160000</v>
      </c>
      <c r="G44" s="42">
        <f t="shared" si="14"/>
        <v>160000</v>
      </c>
      <c r="H44" s="42">
        <f t="shared" si="14"/>
        <v>160000</v>
      </c>
      <c r="I44" s="42">
        <f t="shared" si="14"/>
        <v>160000</v>
      </c>
      <c r="J44" s="42">
        <f t="shared" si="14"/>
        <v>160000</v>
      </c>
      <c r="K44" s="42">
        <f t="shared" si="14"/>
        <v>160000</v>
      </c>
      <c r="L44" s="42">
        <f t="shared" si="14"/>
        <v>160000</v>
      </c>
      <c r="M44" s="42">
        <f t="shared" si="14"/>
        <v>160000</v>
      </c>
      <c r="N44" s="42">
        <f t="shared" si="14"/>
        <v>160000</v>
      </c>
    </row>
    <row r="45" spans="1:14" x14ac:dyDescent="0.25">
      <c r="A45" s="24" t="s">
        <v>91</v>
      </c>
      <c r="B45" s="40">
        <f t="shared" ref="B45:N45" si="15">B41-B44</f>
        <v>30500</v>
      </c>
      <c r="C45" s="40">
        <f t="shared" si="15"/>
        <v>36095</v>
      </c>
      <c r="D45" s="40">
        <f t="shared" si="15"/>
        <v>41755.475000000035</v>
      </c>
      <c r="E45" s="40">
        <f t="shared" si="15"/>
        <v>47571.75237500004</v>
      </c>
      <c r="F45" s="40">
        <f t="shared" si="15"/>
        <v>53544.611136875028</v>
      </c>
      <c r="G45" s="40">
        <f t="shared" si="15"/>
        <v>44674.834192559414</v>
      </c>
      <c r="H45" s="40">
        <f t="shared" si="15"/>
        <v>50963.208363522193</v>
      </c>
      <c r="I45" s="40">
        <f t="shared" si="15"/>
        <v>57410.524405339791</v>
      </c>
      <c r="J45" s="40">
        <f t="shared" si="15"/>
        <v>56017.577027366468</v>
      </c>
      <c r="K45" s="40">
        <f t="shared" si="15"/>
        <v>62785.164912503271</v>
      </c>
      <c r="L45" s="40">
        <f t="shared" si="15"/>
        <v>69714.090737065766</v>
      </c>
      <c r="M45" s="40">
        <f t="shared" si="15"/>
        <v>76805.161190751067</v>
      </c>
      <c r="N45" s="40">
        <f t="shared" si="15"/>
        <v>84059.186996704782</v>
      </c>
    </row>
    <row r="46" spans="1:14" x14ac:dyDescent="0.25">
      <c r="A46" s="24" t="s">
        <v>92</v>
      </c>
      <c r="B46" s="45" t="str">
        <f t="shared" ref="B46:N46" si="16">IF(B45&lt;0,"Below Minimum",IF(B45&lt;B44*0.2,"Near Minimum","Healthy"))</f>
        <v>Near Minimum</v>
      </c>
      <c r="C46" s="45" t="str">
        <f t="shared" si="16"/>
        <v>Healthy</v>
      </c>
      <c r="D46" s="45" t="str">
        <f t="shared" si="16"/>
        <v>Healthy</v>
      </c>
      <c r="E46" s="45" t="str">
        <f t="shared" si="16"/>
        <v>Healthy</v>
      </c>
      <c r="F46" s="45" t="str">
        <f t="shared" si="16"/>
        <v>Healthy</v>
      </c>
      <c r="G46" s="45" t="str">
        <f t="shared" si="16"/>
        <v>Healthy</v>
      </c>
      <c r="H46" s="45" t="str">
        <f t="shared" si="16"/>
        <v>Healthy</v>
      </c>
      <c r="I46" s="45" t="str">
        <f t="shared" si="16"/>
        <v>Healthy</v>
      </c>
      <c r="J46" s="45" t="str">
        <f t="shared" si="16"/>
        <v>Healthy</v>
      </c>
      <c r="K46" s="45" t="str">
        <f t="shared" si="16"/>
        <v>Healthy</v>
      </c>
      <c r="L46" s="45" t="str">
        <f t="shared" si="16"/>
        <v>Healthy</v>
      </c>
      <c r="M46" s="45" t="str">
        <f t="shared" si="16"/>
        <v>Healthy</v>
      </c>
      <c r="N46" s="45" t="str">
        <f t="shared" si="16"/>
        <v>Healthy</v>
      </c>
    </row>
  </sheetData>
  <mergeCells count="8">
    <mergeCell ref="A29:N29"/>
    <mergeCell ref="A39:N39"/>
    <mergeCell ref="A43:N43"/>
    <mergeCell ref="A1:N1"/>
    <mergeCell ref="A4:N4"/>
    <mergeCell ref="A14:N14"/>
    <mergeCell ref="A18:N18"/>
    <mergeCell ref="A21:N21"/>
  </mergeCells>
  <conditionalFormatting sqref="B41:N41">
    <cfRule type="expression" dxfId="9" priority="2">
      <formula>B41&lt;B44</formula>
    </cfRule>
    <cfRule type="expression" dxfId="8" priority="3">
      <formula>AND(B41&gt;=B44,B41&lt;B44*1.2)</formula>
    </cfRule>
    <cfRule type="expression" dxfId="7" priority="4">
      <formula>B41&gt;=B44*1.2</formula>
    </cfRule>
  </conditionalFormatting>
  <conditionalFormatting sqref="B46:N46">
    <cfRule type="cellIs" dxfId="6" priority="5" operator="equal">
      <formula>"Below Minimum"</formula>
    </cfRule>
    <cfRule type="cellIs" dxfId="5" priority="6" operator="equal">
      <formula>"Near Minimum"</formula>
    </cfRule>
    <cfRule type="cellIs" dxfId="4" priority="7" operator="equal">
      <formula>"Healthy"</formula>
    </cfRule>
  </conditionalFormatting>
  <dataValidations count="1">
    <dataValidation type="list" sqref="B2" xr:uid="{00000000-0002-0000-0200-000000000000}">
      <formula1>"Best Case,Base Case,Worst Case"</formula1>
      <formula2>0</formula2>
    </dataValidation>
  </dataValidations>
  <pageMargins left="0.4" right="0.4" top="0.5" bottom="0.5" header="0.511811023622047" footer="0.511811023622047"/>
  <pageSetup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0"/>
  <sheetViews>
    <sheetView showGridLines="0" zoomScaleNormal="100" workbookViewId="0">
      <pane ySplit="4" topLeftCell="A5" activePane="bottomLeft" state="frozen"/>
      <selection pane="bottomLeft" sqref="A1:H1"/>
    </sheetView>
  </sheetViews>
  <sheetFormatPr defaultColWidth="8.7109375" defaultRowHeight="15" x14ac:dyDescent="0.25"/>
  <cols>
    <col min="1" max="2" width="12" customWidth="1"/>
    <col min="3" max="5" width="14" customWidth="1"/>
    <col min="6" max="7" width="16" customWidth="1"/>
    <col min="8" max="8" width="14" customWidth="1"/>
  </cols>
  <sheetData>
    <row r="1" spans="1:8" ht="18" x14ac:dyDescent="0.25">
      <c r="A1" s="14" t="s">
        <v>93</v>
      </c>
      <c r="B1" s="14"/>
      <c r="C1" s="14"/>
      <c r="D1" s="14"/>
      <c r="E1" s="14"/>
      <c r="F1" s="14"/>
      <c r="G1" s="14"/>
      <c r="H1" s="14"/>
    </row>
    <row r="2" spans="1:8" ht="24" customHeight="1" x14ac:dyDescent="0.25">
      <c r="A2" s="6" t="s">
        <v>94</v>
      </c>
      <c r="B2" s="6"/>
      <c r="C2" s="6"/>
      <c r="D2" s="6"/>
      <c r="E2" s="6"/>
      <c r="F2" s="6"/>
      <c r="G2" s="6"/>
      <c r="H2" s="6"/>
    </row>
    <row r="4" spans="1:8" ht="24" x14ac:dyDescent="0.25">
      <c r="A4" s="46" t="s">
        <v>95</v>
      </c>
      <c r="B4" s="46" t="s">
        <v>67</v>
      </c>
      <c r="C4" s="46" t="s">
        <v>96</v>
      </c>
      <c r="D4" s="46" t="s">
        <v>97</v>
      </c>
      <c r="E4" s="46" t="s">
        <v>98</v>
      </c>
      <c r="F4" s="46" t="s">
        <v>92</v>
      </c>
      <c r="G4" s="46" t="s">
        <v>99</v>
      </c>
      <c r="H4" s="46" t="s">
        <v>100</v>
      </c>
    </row>
    <row r="5" spans="1:8" x14ac:dyDescent="0.25">
      <c r="A5" s="47">
        <f>'13-Week Cash Flow'!B16</f>
        <v>1</v>
      </c>
      <c r="B5" s="48">
        <f>'13-Week Cash Flow'!B15</f>
        <v>46255</v>
      </c>
      <c r="C5" s="49">
        <f>'13-Week Cash Flow'!B41</f>
        <v>190500</v>
      </c>
      <c r="D5" s="49">
        <f>'13-Week Cash Flow'!B44</f>
        <v>160000</v>
      </c>
      <c r="E5" s="49">
        <f>'13-Week Cash Flow'!B45</f>
        <v>30500</v>
      </c>
      <c r="F5" s="50" t="str">
        <f>'13-Week Cash Flow'!B46</f>
        <v>Near Minimum</v>
      </c>
      <c r="G5" s="42">
        <f>'13-Week Cash Flow'!B41-'13-Week Cash Flow'!B19</f>
        <v>5500</v>
      </c>
      <c r="H5" s="51" t="str">
        <f t="shared" ref="H5:H17" si="0">IF(ABS(G5)&gt;D5*0.15,"Large Swing","")</f>
        <v/>
      </c>
    </row>
    <row r="6" spans="1:8" x14ac:dyDescent="0.25">
      <c r="A6" s="47">
        <f>'13-Week Cash Flow'!C16</f>
        <v>2</v>
      </c>
      <c r="B6" s="48">
        <f>'13-Week Cash Flow'!C15</f>
        <v>46262</v>
      </c>
      <c r="C6" s="49">
        <f>'13-Week Cash Flow'!C41</f>
        <v>196095</v>
      </c>
      <c r="D6" s="49">
        <f>'13-Week Cash Flow'!C44</f>
        <v>160000</v>
      </c>
      <c r="E6" s="49">
        <f>'13-Week Cash Flow'!C45</f>
        <v>36095</v>
      </c>
      <c r="F6" s="50" t="str">
        <f>'13-Week Cash Flow'!C46</f>
        <v>Healthy</v>
      </c>
      <c r="G6" s="42">
        <f>'13-Week Cash Flow'!C41-'13-Week Cash Flow'!B41</f>
        <v>5595</v>
      </c>
      <c r="H6" s="51" t="str">
        <f t="shared" si="0"/>
        <v/>
      </c>
    </row>
    <row r="7" spans="1:8" x14ac:dyDescent="0.25">
      <c r="A7" s="47">
        <f>'13-Week Cash Flow'!D16</f>
        <v>3</v>
      </c>
      <c r="B7" s="48">
        <f>'13-Week Cash Flow'!D15</f>
        <v>46269</v>
      </c>
      <c r="C7" s="49">
        <f>'13-Week Cash Flow'!D41</f>
        <v>201755.47500000003</v>
      </c>
      <c r="D7" s="49">
        <f>'13-Week Cash Flow'!D44</f>
        <v>160000</v>
      </c>
      <c r="E7" s="49">
        <f>'13-Week Cash Flow'!D45</f>
        <v>41755.475000000035</v>
      </c>
      <c r="F7" s="50" t="str">
        <f>'13-Week Cash Flow'!D46</f>
        <v>Healthy</v>
      </c>
      <c r="G7" s="42">
        <f>'13-Week Cash Flow'!D41-'13-Week Cash Flow'!C41</f>
        <v>5660.4750000000349</v>
      </c>
      <c r="H7" s="51" t="str">
        <f t="shared" si="0"/>
        <v/>
      </c>
    </row>
    <row r="8" spans="1:8" x14ac:dyDescent="0.25">
      <c r="A8" s="47">
        <f>'13-Week Cash Flow'!E16</f>
        <v>4</v>
      </c>
      <c r="B8" s="48">
        <f>'13-Week Cash Flow'!E15</f>
        <v>46276</v>
      </c>
      <c r="C8" s="49">
        <f>'13-Week Cash Flow'!E41</f>
        <v>207571.75237500004</v>
      </c>
      <c r="D8" s="49">
        <f>'13-Week Cash Flow'!E44</f>
        <v>160000</v>
      </c>
      <c r="E8" s="49">
        <f>'13-Week Cash Flow'!E45</f>
        <v>47571.75237500004</v>
      </c>
      <c r="F8" s="50" t="str">
        <f>'13-Week Cash Flow'!E46</f>
        <v>Healthy</v>
      </c>
      <c r="G8" s="42">
        <f>'13-Week Cash Flow'!E41-'13-Week Cash Flow'!D41</f>
        <v>5816.2773750000051</v>
      </c>
      <c r="H8" s="51" t="str">
        <f t="shared" si="0"/>
        <v/>
      </c>
    </row>
    <row r="9" spans="1:8" x14ac:dyDescent="0.25">
      <c r="A9" s="47">
        <f>'13-Week Cash Flow'!F16</f>
        <v>5</v>
      </c>
      <c r="B9" s="48">
        <f>'13-Week Cash Flow'!F15</f>
        <v>46283</v>
      </c>
      <c r="C9" s="49">
        <f>'13-Week Cash Flow'!F41</f>
        <v>213544.61113687503</v>
      </c>
      <c r="D9" s="49">
        <f>'13-Week Cash Flow'!F44</f>
        <v>160000</v>
      </c>
      <c r="E9" s="49">
        <f>'13-Week Cash Flow'!F45</f>
        <v>53544.611136875028</v>
      </c>
      <c r="F9" s="50" t="str">
        <f>'13-Week Cash Flow'!F46</f>
        <v>Healthy</v>
      </c>
      <c r="G9" s="42">
        <f>'13-Week Cash Flow'!F41-'13-Week Cash Flow'!E41</f>
        <v>5972.858761874988</v>
      </c>
      <c r="H9" s="51" t="str">
        <f t="shared" si="0"/>
        <v/>
      </c>
    </row>
    <row r="10" spans="1:8" x14ac:dyDescent="0.25">
      <c r="A10" s="47">
        <f>'13-Week Cash Flow'!G16</f>
        <v>6</v>
      </c>
      <c r="B10" s="48">
        <f>'13-Week Cash Flow'!G15</f>
        <v>46290</v>
      </c>
      <c r="C10" s="49">
        <f>'13-Week Cash Flow'!G41</f>
        <v>204674.83419255941</v>
      </c>
      <c r="D10" s="49">
        <f>'13-Week Cash Flow'!G44</f>
        <v>160000</v>
      </c>
      <c r="E10" s="49">
        <f>'13-Week Cash Flow'!G45</f>
        <v>44674.834192559414</v>
      </c>
      <c r="F10" s="50" t="str">
        <f>'13-Week Cash Flow'!G46</f>
        <v>Healthy</v>
      </c>
      <c r="G10" s="42">
        <f>'13-Week Cash Flow'!G41-'13-Week Cash Flow'!F41</f>
        <v>-8869.7769443156139</v>
      </c>
      <c r="H10" s="51" t="str">
        <f t="shared" si="0"/>
        <v/>
      </c>
    </row>
    <row r="11" spans="1:8" x14ac:dyDescent="0.25">
      <c r="A11" s="47">
        <f>'13-Week Cash Flow'!H16</f>
        <v>7</v>
      </c>
      <c r="B11" s="48">
        <f>'13-Week Cash Flow'!H15</f>
        <v>46297</v>
      </c>
      <c r="C11" s="49">
        <f>'13-Week Cash Flow'!H41</f>
        <v>210963.20836352219</v>
      </c>
      <c r="D11" s="49">
        <f>'13-Week Cash Flow'!H44</f>
        <v>160000</v>
      </c>
      <c r="E11" s="49">
        <f>'13-Week Cash Flow'!H45</f>
        <v>50963.208363522193</v>
      </c>
      <c r="F11" s="50" t="str">
        <f>'13-Week Cash Flow'!H46</f>
        <v>Healthy</v>
      </c>
      <c r="G11" s="42">
        <f>'13-Week Cash Flow'!H41-'13-Week Cash Flow'!G41</f>
        <v>6288.3741709627793</v>
      </c>
      <c r="H11" s="51" t="str">
        <f t="shared" si="0"/>
        <v/>
      </c>
    </row>
    <row r="12" spans="1:8" x14ac:dyDescent="0.25">
      <c r="A12" s="47">
        <f>'13-Week Cash Flow'!I16</f>
        <v>8</v>
      </c>
      <c r="B12" s="48">
        <f>'13-Week Cash Flow'!I15</f>
        <v>46304</v>
      </c>
      <c r="C12" s="49">
        <f>'13-Week Cash Flow'!I41</f>
        <v>217410.52440533979</v>
      </c>
      <c r="D12" s="49">
        <f>'13-Week Cash Flow'!I44</f>
        <v>160000</v>
      </c>
      <c r="E12" s="49">
        <f>'13-Week Cash Flow'!I45</f>
        <v>57410.524405339791</v>
      </c>
      <c r="F12" s="50" t="str">
        <f>'13-Week Cash Flow'!I46</f>
        <v>Healthy</v>
      </c>
      <c r="G12" s="42">
        <f>'13-Week Cash Flow'!I41-'13-Week Cash Flow'!H41</f>
        <v>6447.3160418175976</v>
      </c>
      <c r="H12" s="51" t="str">
        <f t="shared" si="0"/>
        <v/>
      </c>
    </row>
    <row r="13" spans="1:8" x14ac:dyDescent="0.25">
      <c r="A13" s="47">
        <f>'13-Week Cash Flow'!J16</f>
        <v>9</v>
      </c>
      <c r="B13" s="48">
        <f>'13-Week Cash Flow'!J15</f>
        <v>46311</v>
      </c>
      <c r="C13" s="49">
        <f>'13-Week Cash Flow'!J41</f>
        <v>216017.57702736647</v>
      </c>
      <c r="D13" s="49">
        <f>'13-Week Cash Flow'!J44</f>
        <v>160000</v>
      </c>
      <c r="E13" s="49">
        <f>'13-Week Cash Flow'!J45</f>
        <v>56017.577027366468</v>
      </c>
      <c r="F13" s="50" t="str">
        <f>'13-Week Cash Flow'!J46</f>
        <v>Healthy</v>
      </c>
      <c r="G13" s="42">
        <f>'13-Week Cash Flow'!J41-'13-Week Cash Flow'!I41</f>
        <v>-1392.9473779733235</v>
      </c>
      <c r="H13" s="51" t="str">
        <f t="shared" si="0"/>
        <v/>
      </c>
    </row>
    <row r="14" spans="1:8" x14ac:dyDescent="0.25">
      <c r="A14" s="47">
        <f>'13-Week Cash Flow'!K16</f>
        <v>10</v>
      </c>
      <c r="B14" s="48">
        <f>'13-Week Cash Flow'!K15</f>
        <v>46318</v>
      </c>
      <c r="C14" s="49">
        <f>'13-Week Cash Flow'!K41</f>
        <v>222785.16491250327</v>
      </c>
      <c r="D14" s="49">
        <f>'13-Week Cash Flow'!K44</f>
        <v>160000</v>
      </c>
      <c r="E14" s="49">
        <f>'13-Week Cash Flow'!K45</f>
        <v>62785.164912503271</v>
      </c>
      <c r="F14" s="50" t="str">
        <f>'13-Week Cash Flow'!K46</f>
        <v>Healthy</v>
      </c>
      <c r="G14" s="42">
        <f>'13-Week Cash Flow'!K41-'13-Week Cash Flow'!J41</f>
        <v>6767.5878851368034</v>
      </c>
      <c r="H14" s="51" t="str">
        <f t="shared" si="0"/>
        <v/>
      </c>
    </row>
    <row r="15" spans="1:8" x14ac:dyDescent="0.25">
      <c r="A15" s="47">
        <f>'13-Week Cash Flow'!L16</f>
        <v>11</v>
      </c>
      <c r="B15" s="48">
        <f>'13-Week Cash Flow'!L15</f>
        <v>46325</v>
      </c>
      <c r="C15" s="49">
        <f>'13-Week Cash Flow'!L41</f>
        <v>229714.09073706577</v>
      </c>
      <c r="D15" s="49">
        <f>'13-Week Cash Flow'!L44</f>
        <v>160000</v>
      </c>
      <c r="E15" s="49">
        <f>'13-Week Cash Flow'!L45</f>
        <v>69714.090737065766</v>
      </c>
      <c r="F15" s="50" t="str">
        <f>'13-Week Cash Flow'!L46</f>
        <v>Healthy</v>
      </c>
      <c r="G15" s="42">
        <f>'13-Week Cash Flow'!L41-'13-Week Cash Flow'!K41</f>
        <v>6928.9258245624951</v>
      </c>
      <c r="H15" s="51" t="str">
        <f t="shared" si="0"/>
        <v/>
      </c>
    </row>
    <row r="16" spans="1:8" x14ac:dyDescent="0.25">
      <c r="A16" s="47">
        <f>'13-Week Cash Flow'!M16</f>
        <v>12</v>
      </c>
      <c r="B16" s="48">
        <f>'13-Week Cash Flow'!M15</f>
        <v>46332</v>
      </c>
      <c r="C16" s="49">
        <f>'13-Week Cash Flow'!M41</f>
        <v>236805.16119075107</v>
      </c>
      <c r="D16" s="49">
        <f>'13-Week Cash Flow'!M44</f>
        <v>160000</v>
      </c>
      <c r="E16" s="49">
        <f>'13-Week Cash Flow'!M45</f>
        <v>76805.161190751067</v>
      </c>
      <c r="F16" s="50" t="str">
        <f>'13-Week Cash Flow'!M46</f>
        <v>Healthy</v>
      </c>
      <c r="G16" s="42">
        <f>'13-Week Cash Flow'!M41-'13-Week Cash Flow'!L41</f>
        <v>7091.0704536853009</v>
      </c>
      <c r="H16" s="51" t="str">
        <f t="shared" si="0"/>
        <v/>
      </c>
    </row>
    <row r="17" spans="1:8" x14ac:dyDescent="0.25">
      <c r="A17" s="47">
        <f>'13-Week Cash Flow'!N16</f>
        <v>13</v>
      </c>
      <c r="B17" s="48">
        <f>'13-Week Cash Flow'!N15</f>
        <v>46339</v>
      </c>
      <c r="C17" s="49">
        <f>'13-Week Cash Flow'!N41</f>
        <v>244059.18699670478</v>
      </c>
      <c r="D17" s="49">
        <f>'13-Week Cash Flow'!N44</f>
        <v>160000</v>
      </c>
      <c r="E17" s="49">
        <f>'13-Week Cash Flow'!N45</f>
        <v>84059.186996704782</v>
      </c>
      <c r="F17" s="50" t="str">
        <f>'13-Week Cash Flow'!N46</f>
        <v>Healthy</v>
      </c>
      <c r="G17" s="42">
        <f>'13-Week Cash Flow'!N41-'13-Week Cash Flow'!M41</f>
        <v>7254.0258059537155</v>
      </c>
      <c r="H17" s="51" t="str">
        <f t="shared" si="0"/>
        <v/>
      </c>
    </row>
    <row r="19" spans="1:8" x14ac:dyDescent="0.25">
      <c r="A19" s="12" t="s">
        <v>101</v>
      </c>
      <c r="B19" s="12"/>
      <c r="C19" s="12"/>
      <c r="D19" s="12"/>
      <c r="E19" s="12"/>
      <c r="F19" s="12"/>
      <c r="G19" s="12"/>
      <c r="H19" s="12"/>
    </row>
    <row r="20" spans="1:8" ht="15" customHeight="1" x14ac:dyDescent="0.25">
      <c r="A20" s="5" t="s">
        <v>102</v>
      </c>
      <c r="B20" s="5"/>
      <c r="C20" s="5"/>
      <c r="D20" s="52">
        <f>COUNTIF(F5:F17,"Below Minimum")</f>
        <v>0</v>
      </c>
    </row>
    <row r="21" spans="1:8" ht="15" customHeight="1" x14ac:dyDescent="0.25">
      <c r="A21" s="5" t="s">
        <v>103</v>
      </c>
      <c r="B21" s="5"/>
      <c r="C21" s="5"/>
      <c r="D21" s="53">
        <f>COUNTIF(F5:F17,"Near Minimum")</f>
        <v>1</v>
      </c>
    </row>
    <row r="22" spans="1:8" ht="15" customHeight="1" x14ac:dyDescent="0.25">
      <c r="A22" s="5" t="s">
        <v>104</v>
      </c>
      <c r="B22" s="5"/>
      <c r="C22" s="5"/>
      <c r="D22" s="54">
        <f>MIN(C5:C17)</f>
        <v>190500</v>
      </c>
    </row>
    <row r="23" spans="1:8" ht="15" customHeight="1" x14ac:dyDescent="0.25">
      <c r="A23" s="5" t="s">
        <v>105</v>
      </c>
      <c r="B23" s="5"/>
      <c r="C23" s="5"/>
      <c r="D23" s="55">
        <f>INDEX(A5:A17,MATCH(MIN(C5:C17),C5:C17,0))</f>
        <v>1</v>
      </c>
    </row>
    <row r="24" spans="1:8" ht="15" customHeight="1" x14ac:dyDescent="0.25">
      <c r="A24" s="5" t="s">
        <v>106</v>
      </c>
      <c r="B24" s="5"/>
      <c r="C24" s="5"/>
      <c r="D24" s="56">
        <f>MIN(G5:G17)</f>
        <v>-8869.7769443156139</v>
      </c>
    </row>
    <row r="26" spans="1:8" x14ac:dyDescent="0.25">
      <c r="A26" s="12" t="s">
        <v>107</v>
      </c>
      <c r="B26" s="12"/>
      <c r="C26" s="12"/>
      <c r="D26" s="12"/>
      <c r="E26" s="12"/>
      <c r="F26" s="12"/>
      <c r="G26" s="12"/>
      <c r="H26" s="12"/>
    </row>
    <row r="27" spans="1:8" ht="15" customHeight="1" x14ac:dyDescent="0.25">
      <c r="A27" s="4" t="s">
        <v>108</v>
      </c>
      <c r="B27" s="4"/>
      <c r="C27" s="4"/>
      <c r="D27" s="4"/>
      <c r="E27" s="4"/>
      <c r="F27" s="4"/>
      <c r="G27" s="4"/>
      <c r="H27" s="4"/>
    </row>
    <row r="28" spans="1:8" ht="15" customHeight="1" x14ac:dyDescent="0.25">
      <c r="A28" s="4" t="s">
        <v>109</v>
      </c>
      <c r="B28" s="4"/>
      <c r="C28" s="4"/>
      <c r="D28" s="4"/>
      <c r="E28" s="4"/>
      <c r="F28" s="4"/>
      <c r="G28" s="4"/>
      <c r="H28" s="4"/>
    </row>
    <row r="29" spans="1:8" ht="15" customHeight="1" x14ac:dyDescent="0.25">
      <c r="A29" s="4" t="s">
        <v>110</v>
      </c>
      <c r="B29" s="4"/>
      <c r="C29" s="4"/>
      <c r="D29" s="4"/>
      <c r="E29" s="4"/>
      <c r="F29" s="4"/>
      <c r="G29" s="4"/>
      <c r="H29" s="4"/>
    </row>
    <row r="30" spans="1:8" ht="15" customHeight="1" x14ac:dyDescent="0.25">
      <c r="A30" s="4" t="s">
        <v>111</v>
      </c>
      <c r="B30" s="4"/>
      <c r="C30" s="4"/>
      <c r="D30" s="4"/>
      <c r="E30" s="4"/>
      <c r="F30" s="4"/>
      <c r="G30" s="4"/>
      <c r="H30" s="4"/>
    </row>
  </sheetData>
  <mergeCells count="13">
    <mergeCell ref="A28:H28"/>
    <mergeCell ref="A29:H29"/>
    <mergeCell ref="A30:H30"/>
    <mergeCell ref="A22:C22"/>
    <mergeCell ref="A23:C23"/>
    <mergeCell ref="A24:C24"/>
    <mergeCell ref="A26:H26"/>
    <mergeCell ref="A27:H27"/>
    <mergeCell ref="A1:H1"/>
    <mergeCell ref="A2:H2"/>
    <mergeCell ref="A19:H19"/>
    <mergeCell ref="A20:C20"/>
    <mergeCell ref="A21:C21"/>
  </mergeCells>
  <conditionalFormatting sqref="F5:F17">
    <cfRule type="cellIs" dxfId="3" priority="2" operator="equal">
      <formula>"Below Minimum"</formula>
    </cfRule>
    <cfRule type="cellIs" dxfId="2" priority="3" operator="equal">
      <formula>"Near Minimum"</formula>
    </cfRule>
    <cfRule type="cellIs" dxfId="1" priority="4" operator="equal">
      <formula>"Healthy"</formula>
    </cfRule>
  </conditionalFormatting>
  <conditionalFormatting sqref="H5:H17">
    <cfRule type="cellIs" dxfId="0" priority="5" operator="equal">
      <formula>"Large Swing"</formula>
    </cfRule>
  </conditionalFormatting>
  <pageMargins left="0.4" right="0.4" top="0.5" bottom="0.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9"/>
  <sheetViews>
    <sheetView showGridLines="0" zoomScaleNormal="100" workbookViewId="0">
      <selection sqref="A1:H1"/>
    </sheetView>
  </sheetViews>
  <sheetFormatPr defaultColWidth="8.7109375" defaultRowHeight="15" x14ac:dyDescent="0.25"/>
  <cols>
    <col min="1" max="1" width="95" customWidth="1"/>
    <col min="2" max="8" width="4" customWidth="1"/>
  </cols>
  <sheetData>
    <row r="1" spans="1:8" ht="18" x14ac:dyDescent="0.25">
      <c r="A1" s="14" t="s">
        <v>11</v>
      </c>
      <c r="B1" s="14"/>
      <c r="C1" s="14"/>
      <c r="D1" s="14"/>
      <c r="E1" s="14"/>
      <c r="F1" s="14"/>
      <c r="G1" s="14"/>
      <c r="H1" s="14"/>
    </row>
    <row r="2" spans="1:8" ht="39.75" customHeight="1" x14ac:dyDescent="0.25">
      <c r="A2" s="11" t="s">
        <v>112</v>
      </c>
      <c r="B2" s="11"/>
      <c r="C2" s="11"/>
      <c r="D2" s="11"/>
      <c r="E2" s="11"/>
      <c r="F2" s="11"/>
      <c r="G2" s="11"/>
      <c r="H2" s="11"/>
    </row>
    <row r="4" spans="1:8" x14ac:dyDescent="0.25">
      <c r="A4" s="12" t="s">
        <v>113</v>
      </c>
      <c r="B4" s="12"/>
      <c r="C4" s="12"/>
      <c r="D4" s="12"/>
      <c r="E4" s="12"/>
      <c r="F4" s="12"/>
      <c r="G4" s="12"/>
      <c r="H4" s="12"/>
    </row>
    <row r="5" spans="1:8" x14ac:dyDescent="0.25">
      <c r="A5" s="3" t="s">
        <v>114</v>
      </c>
      <c r="B5" s="3"/>
      <c r="C5" s="3"/>
      <c r="D5" s="3"/>
      <c r="E5" s="3"/>
      <c r="F5" s="3"/>
      <c r="G5" s="3"/>
      <c r="H5" s="3"/>
    </row>
    <row r="6" spans="1:8" ht="27.75" customHeight="1" x14ac:dyDescent="0.25">
      <c r="A6" s="11" t="s">
        <v>115</v>
      </c>
      <c r="B6" s="11"/>
      <c r="C6" s="11"/>
      <c r="D6" s="11"/>
      <c r="E6" s="11"/>
      <c r="F6" s="11"/>
      <c r="G6" s="11"/>
      <c r="H6" s="11"/>
    </row>
    <row r="7" spans="1:8" x14ac:dyDescent="0.25">
      <c r="A7" s="3" t="s">
        <v>116</v>
      </c>
      <c r="B7" s="3"/>
      <c r="C7" s="3"/>
      <c r="D7" s="3"/>
      <c r="E7" s="3"/>
      <c r="F7" s="3"/>
      <c r="G7" s="3"/>
      <c r="H7" s="3"/>
    </row>
    <row r="8" spans="1:8" ht="27.75" customHeight="1" x14ac:dyDescent="0.25">
      <c r="A8" s="11" t="s">
        <v>117</v>
      </c>
      <c r="B8" s="11"/>
      <c r="C8" s="11"/>
      <c r="D8" s="11"/>
      <c r="E8" s="11"/>
      <c r="F8" s="11"/>
      <c r="G8" s="11"/>
      <c r="H8" s="11"/>
    </row>
    <row r="9" spans="1:8" x14ac:dyDescent="0.25">
      <c r="A9" s="3" t="s">
        <v>118</v>
      </c>
      <c r="B9" s="3"/>
      <c r="C9" s="3"/>
      <c r="D9" s="3"/>
      <c r="E9" s="3"/>
      <c r="F9" s="3"/>
      <c r="G9" s="3"/>
      <c r="H9" s="3"/>
    </row>
    <row r="10" spans="1:8" ht="27.75" customHeight="1" x14ac:dyDescent="0.25">
      <c r="A10" s="11" t="s">
        <v>119</v>
      </c>
      <c r="B10" s="11"/>
      <c r="C10" s="11"/>
      <c r="D10" s="11"/>
      <c r="E10" s="11"/>
      <c r="F10" s="11"/>
      <c r="G10" s="11"/>
      <c r="H10" s="11"/>
    </row>
    <row r="11" spans="1:8" x14ac:dyDescent="0.25">
      <c r="A11" s="3" t="s">
        <v>120</v>
      </c>
      <c r="B11" s="3"/>
      <c r="C11" s="3"/>
      <c r="D11" s="3"/>
      <c r="E11" s="3"/>
      <c r="F11" s="3"/>
      <c r="G11" s="3"/>
      <c r="H11" s="3"/>
    </row>
    <row r="12" spans="1:8" ht="27.75" customHeight="1" x14ac:dyDescent="0.25">
      <c r="A12" s="11" t="s">
        <v>121</v>
      </c>
      <c r="B12" s="11"/>
      <c r="C12" s="11"/>
      <c r="D12" s="11"/>
      <c r="E12" s="11"/>
      <c r="F12" s="11"/>
      <c r="G12" s="11"/>
      <c r="H12" s="11"/>
    </row>
    <row r="13" spans="1:8" x14ac:dyDescent="0.25">
      <c r="A13" s="3" t="s">
        <v>122</v>
      </c>
      <c r="B13" s="3"/>
      <c r="C13" s="3"/>
      <c r="D13" s="3"/>
      <c r="E13" s="3"/>
      <c r="F13" s="3"/>
      <c r="G13" s="3"/>
      <c r="H13" s="3"/>
    </row>
    <row r="14" spans="1:8" ht="27.75" customHeight="1" x14ac:dyDescent="0.25">
      <c r="A14" s="11" t="s">
        <v>123</v>
      </c>
      <c r="B14" s="11"/>
      <c r="C14" s="11"/>
      <c r="D14" s="11"/>
      <c r="E14" s="11"/>
      <c r="F14" s="11"/>
      <c r="G14" s="11"/>
      <c r="H14" s="11"/>
    </row>
    <row r="16" spans="1:8" x14ac:dyDescent="0.25">
      <c r="A16" s="12" t="s">
        <v>124</v>
      </c>
      <c r="B16" s="12"/>
      <c r="C16" s="12"/>
      <c r="D16" s="12"/>
      <c r="E16" s="12"/>
      <c r="F16" s="12"/>
      <c r="G16" s="12"/>
      <c r="H16" s="12"/>
    </row>
    <row r="17" spans="1:8" x14ac:dyDescent="0.25">
      <c r="A17" s="3" t="s">
        <v>125</v>
      </c>
      <c r="B17" s="3"/>
      <c r="C17" s="3"/>
      <c r="D17" s="3"/>
      <c r="E17" s="3"/>
      <c r="F17" s="3"/>
      <c r="G17" s="3"/>
      <c r="H17" s="3"/>
    </row>
    <row r="18" spans="1:8" ht="27.75" customHeight="1" x14ac:dyDescent="0.25">
      <c r="A18" s="11" t="s">
        <v>126</v>
      </c>
      <c r="B18" s="11"/>
      <c r="C18" s="11"/>
      <c r="D18" s="11"/>
      <c r="E18" s="11"/>
      <c r="F18" s="11"/>
      <c r="G18" s="11"/>
      <c r="H18" s="11"/>
    </row>
    <row r="19" spans="1:8" x14ac:dyDescent="0.25">
      <c r="A19" s="3" t="s">
        <v>127</v>
      </c>
      <c r="B19" s="3"/>
      <c r="C19" s="3"/>
      <c r="D19" s="3"/>
      <c r="E19" s="3"/>
      <c r="F19" s="3"/>
      <c r="G19" s="3"/>
      <c r="H19" s="3"/>
    </row>
    <row r="20" spans="1:8" ht="27.75" customHeight="1" x14ac:dyDescent="0.25">
      <c r="A20" s="11" t="s">
        <v>128</v>
      </c>
      <c r="B20" s="11"/>
      <c r="C20" s="11"/>
      <c r="D20" s="11"/>
      <c r="E20" s="11"/>
      <c r="F20" s="11"/>
      <c r="G20" s="11"/>
      <c r="H20" s="11"/>
    </row>
    <row r="21" spans="1:8" x14ac:dyDescent="0.25">
      <c r="A21" s="3" t="s">
        <v>129</v>
      </c>
      <c r="B21" s="3"/>
      <c r="C21" s="3"/>
      <c r="D21" s="3"/>
      <c r="E21" s="3"/>
      <c r="F21" s="3"/>
      <c r="G21" s="3"/>
      <c r="H21" s="3"/>
    </row>
    <row r="22" spans="1:8" ht="27.75" customHeight="1" x14ac:dyDescent="0.25">
      <c r="A22" s="11" t="s">
        <v>130</v>
      </c>
      <c r="B22" s="11"/>
      <c r="C22" s="11"/>
      <c r="D22" s="11"/>
      <c r="E22" s="11"/>
      <c r="F22" s="11"/>
      <c r="G22" s="11"/>
      <c r="H22" s="11"/>
    </row>
    <row r="23" spans="1:8" x14ac:dyDescent="0.25">
      <c r="A23" s="3" t="s">
        <v>131</v>
      </c>
      <c r="B23" s="3"/>
      <c r="C23" s="3"/>
      <c r="D23" s="3"/>
      <c r="E23" s="3"/>
      <c r="F23" s="3"/>
      <c r="G23" s="3"/>
      <c r="H23" s="3"/>
    </row>
    <row r="24" spans="1:8" ht="27.75" customHeight="1" x14ac:dyDescent="0.25">
      <c r="A24" s="11" t="s">
        <v>132</v>
      </c>
      <c r="B24" s="11"/>
      <c r="C24" s="11"/>
      <c r="D24" s="11"/>
      <c r="E24" s="11"/>
      <c r="F24" s="11"/>
      <c r="G24" s="11"/>
      <c r="H24" s="11"/>
    </row>
    <row r="26" spans="1:8" x14ac:dyDescent="0.25">
      <c r="A26" s="12" t="s">
        <v>133</v>
      </c>
      <c r="B26" s="12"/>
      <c r="C26" s="12"/>
      <c r="D26" s="12"/>
      <c r="E26" s="12"/>
      <c r="F26" s="12"/>
      <c r="G26" s="12"/>
      <c r="H26" s="12"/>
    </row>
    <row r="27" spans="1:8" x14ac:dyDescent="0.25">
      <c r="A27" s="3" t="s">
        <v>134</v>
      </c>
      <c r="B27" s="3"/>
      <c r="C27" s="3"/>
      <c r="D27" s="3"/>
      <c r="E27" s="3"/>
      <c r="F27" s="3"/>
      <c r="G27" s="3"/>
      <c r="H27" s="3"/>
    </row>
    <row r="28" spans="1:8" ht="27.75" customHeight="1" x14ac:dyDescent="0.25">
      <c r="A28" s="11" t="s">
        <v>135</v>
      </c>
      <c r="B28" s="11"/>
      <c r="C28" s="11"/>
      <c r="D28" s="11"/>
      <c r="E28" s="11"/>
      <c r="F28" s="11"/>
      <c r="G28" s="11"/>
      <c r="H28" s="11"/>
    </row>
    <row r="29" spans="1:8" x14ac:dyDescent="0.25">
      <c r="A29" s="3" t="s">
        <v>136</v>
      </c>
      <c r="B29" s="3"/>
      <c r="C29" s="3"/>
      <c r="D29" s="3"/>
      <c r="E29" s="3"/>
      <c r="F29" s="3"/>
      <c r="G29" s="3"/>
      <c r="H29" s="3"/>
    </row>
    <row r="30" spans="1:8" ht="27.75" customHeight="1" x14ac:dyDescent="0.25">
      <c r="A30" s="11" t="s">
        <v>137</v>
      </c>
      <c r="B30" s="11"/>
      <c r="C30" s="11"/>
      <c r="D30" s="11"/>
      <c r="E30" s="11"/>
      <c r="F30" s="11"/>
      <c r="G30" s="11"/>
      <c r="H30" s="11"/>
    </row>
    <row r="31" spans="1:8" x14ac:dyDescent="0.25">
      <c r="A31" s="3" t="s">
        <v>138</v>
      </c>
      <c r="B31" s="3"/>
      <c r="C31" s="3"/>
      <c r="D31" s="3"/>
      <c r="E31" s="3"/>
      <c r="F31" s="3"/>
      <c r="G31" s="3"/>
      <c r="H31" s="3"/>
    </row>
    <row r="32" spans="1:8" ht="27.75" customHeight="1" x14ac:dyDescent="0.25">
      <c r="A32" s="11" t="s">
        <v>139</v>
      </c>
      <c r="B32" s="11"/>
      <c r="C32" s="11"/>
      <c r="D32" s="11"/>
      <c r="E32" s="11"/>
      <c r="F32" s="11"/>
      <c r="G32" s="11"/>
      <c r="H32" s="11"/>
    </row>
    <row r="33" spans="1:8" x14ac:dyDescent="0.25">
      <c r="A33" s="3" t="s">
        <v>140</v>
      </c>
      <c r="B33" s="3"/>
      <c r="C33" s="3"/>
      <c r="D33" s="3"/>
      <c r="E33" s="3"/>
      <c r="F33" s="3"/>
      <c r="G33" s="3"/>
      <c r="H33" s="3"/>
    </row>
    <row r="34" spans="1:8" ht="27.75" customHeight="1" x14ac:dyDescent="0.25">
      <c r="A34" s="11" t="s">
        <v>141</v>
      </c>
      <c r="B34" s="11"/>
      <c r="C34" s="11"/>
      <c r="D34" s="11"/>
      <c r="E34" s="11"/>
      <c r="F34" s="11"/>
      <c r="G34" s="11"/>
      <c r="H34" s="11"/>
    </row>
    <row r="36" spans="1:8" x14ac:dyDescent="0.25">
      <c r="A36" s="12" t="s">
        <v>142</v>
      </c>
      <c r="B36" s="12"/>
      <c r="C36" s="12"/>
      <c r="D36" s="12"/>
      <c r="E36" s="12"/>
      <c r="F36" s="12"/>
      <c r="G36" s="12"/>
      <c r="H36" s="12"/>
    </row>
    <row r="37" spans="1:8" ht="30" customHeight="1" x14ac:dyDescent="0.25">
      <c r="A37" s="11" t="s">
        <v>143</v>
      </c>
      <c r="B37" s="11"/>
      <c r="C37" s="11"/>
      <c r="D37" s="11"/>
      <c r="E37" s="11"/>
      <c r="F37" s="11"/>
      <c r="G37" s="11"/>
      <c r="H37" s="11"/>
    </row>
    <row r="39" spans="1:8" ht="30" customHeight="1" x14ac:dyDescent="0.25">
      <c r="A39" s="2" t="s">
        <v>144</v>
      </c>
      <c r="B39" s="2"/>
      <c r="C39" s="2"/>
      <c r="D39" s="2"/>
      <c r="E39" s="2"/>
      <c r="F39" s="2"/>
      <c r="G39" s="2"/>
      <c r="H39" s="2"/>
    </row>
  </sheetData>
  <mergeCells count="34">
    <mergeCell ref="A34:H34"/>
    <mergeCell ref="A36:H36"/>
    <mergeCell ref="A37:H37"/>
    <mergeCell ref="A39:H39"/>
    <mergeCell ref="A29:H29"/>
    <mergeCell ref="A30:H30"/>
    <mergeCell ref="A31:H31"/>
    <mergeCell ref="A32:H32"/>
    <mergeCell ref="A33:H33"/>
    <mergeCell ref="A23:H23"/>
    <mergeCell ref="A24:H24"/>
    <mergeCell ref="A26:H26"/>
    <mergeCell ref="A27:H27"/>
    <mergeCell ref="A28:H28"/>
    <mergeCell ref="A18:H18"/>
    <mergeCell ref="A19:H19"/>
    <mergeCell ref="A20:H20"/>
    <mergeCell ref="A21:H21"/>
    <mergeCell ref="A22:H22"/>
    <mergeCell ref="A12:H12"/>
    <mergeCell ref="A13:H13"/>
    <mergeCell ref="A14:H14"/>
    <mergeCell ref="A16:H16"/>
    <mergeCell ref="A17:H17"/>
    <mergeCell ref="A7:H7"/>
    <mergeCell ref="A8:H8"/>
    <mergeCell ref="A9:H9"/>
    <mergeCell ref="A10:H10"/>
    <mergeCell ref="A11:H11"/>
    <mergeCell ref="A1:H1"/>
    <mergeCell ref="A2:H2"/>
    <mergeCell ref="A4:H4"/>
    <mergeCell ref="A5:H5"/>
    <mergeCell ref="A6:H6"/>
  </mergeCells>
  <pageMargins left="0.4" right="0.4" top="0.5" bottom="0.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0"/>
  <sheetViews>
    <sheetView showGridLines="0" zoomScaleNormal="100" workbookViewId="0">
      <selection sqref="A1:H1"/>
    </sheetView>
  </sheetViews>
  <sheetFormatPr defaultColWidth="8.7109375" defaultRowHeight="15" x14ac:dyDescent="0.25"/>
  <cols>
    <col min="1" max="1" width="95" customWidth="1"/>
    <col min="2" max="8" width="4" customWidth="1"/>
  </cols>
  <sheetData>
    <row r="1" spans="1:8" ht="18" x14ac:dyDescent="0.25">
      <c r="A1" s="14" t="s">
        <v>13</v>
      </c>
      <c r="B1" s="14"/>
      <c r="C1" s="14"/>
      <c r="D1" s="14"/>
      <c r="E1" s="14"/>
      <c r="F1" s="14"/>
      <c r="G1" s="14"/>
      <c r="H1" s="14"/>
    </row>
    <row r="2" spans="1:8" ht="39.75" customHeight="1" x14ac:dyDescent="0.25">
      <c r="A2" s="11" t="s">
        <v>145</v>
      </c>
      <c r="B2" s="11"/>
      <c r="C2" s="11"/>
      <c r="D2" s="11"/>
      <c r="E2" s="11"/>
      <c r="F2" s="11"/>
      <c r="G2" s="11"/>
      <c r="H2" s="11"/>
    </row>
    <row r="4" spans="1:8" x14ac:dyDescent="0.25">
      <c r="A4" s="1" t="s">
        <v>146</v>
      </c>
      <c r="B4" s="1"/>
      <c r="C4" s="1"/>
      <c r="D4" s="1"/>
      <c r="E4" s="1"/>
      <c r="F4" s="1"/>
      <c r="G4" s="1"/>
      <c r="H4" s="1"/>
    </row>
    <row r="5" spans="1:8" ht="42" customHeight="1" x14ac:dyDescent="0.25">
      <c r="A5" s="57" t="s">
        <v>147</v>
      </c>
      <c r="B5" s="57"/>
      <c r="C5" s="57"/>
      <c r="D5" s="57"/>
      <c r="E5" s="57"/>
      <c r="F5" s="57"/>
      <c r="G5" s="57"/>
      <c r="H5" s="57"/>
    </row>
    <row r="7" spans="1:8" x14ac:dyDescent="0.25">
      <c r="A7" s="1" t="s">
        <v>148</v>
      </c>
      <c r="B7" s="1"/>
      <c r="C7" s="1"/>
      <c r="D7" s="1"/>
      <c r="E7" s="1"/>
      <c r="F7" s="1"/>
      <c r="G7" s="1"/>
      <c r="H7" s="1"/>
    </row>
    <row r="8" spans="1:8" ht="42" customHeight="1" x14ac:dyDescent="0.25">
      <c r="A8" s="57" t="s">
        <v>149</v>
      </c>
      <c r="B8" s="57"/>
      <c r="C8" s="57"/>
      <c r="D8" s="57"/>
      <c r="E8" s="57"/>
      <c r="F8" s="57"/>
      <c r="G8" s="57"/>
      <c r="H8" s="57"/>
    </row>
    <row r="10" spans="1:8" x14ac:dyDescent="0.25">
      <c r="A10" s="1" t="s">
        <v>150</v>
      </c>
      <c r="B10" s="1"/>
      <c r="C10" s="1"/>
      <c r="D10" s="1"/>
      <c r="E10" s="1"/>
      <c r="F10" s="1"/>
      <c r="G10" s="1"/>
      <c r="H10" s="1"/>
    </row>
    <row r="11" spans="1:8" ht="42" customHeight="1" x14ac:dyDescent="0.25">
      <c r="A11" s="57" t="s">
        <v>151</v>
      </c>
      <c r="B11" s="57"/>
      <c r="C11" s="57"/>
      <c r="D11" s="57"/>
      <c r="E11" s="57"/>
      <c r="F11" s="57"/>
      <c r="G11" s="57"/>
      <c r="H11" s="57"/>
    </row>
    <row r="13" spans="1:8" x14ac:dyDescent="0.25">
      <c r="A13" s="1" t="s">
        <v>152</v>
      </c>
      <c r="B13" s="1"/>
      <c r="C13" s="1"/>
      <c r="D13" s="1"/>
      <c r="E13" s="1"/>
      <c r="F13" s="1"/>
      <c r="G13" s="1"/>
      <c r="H13" s="1"/>
    </row>
    <row r="14" spans="1:8" ht="42" customHeight="1" x14ac:dyDescent="0.25">
      <c r="A14" s="57" t="s">
        <v>153</v>
      </c>
      <c r="B14" s="57"/>
      <c r="C14" s="57"/>
      <c r="D14" s="57"/>
      <c r="E14" s="57"/>
      <c r="F14" s="57"/>
      <c r="G14" s="57"/>
      <c r="H14" s="57"/>
    </row>
    <row r="16" spans="1:8" x14ac:dyDescent="0.25">
      <c r="A16" s="1" t="s">
        <v>154</v>
      </c>
      <c r="B16" s="1"/>
      <c r="C16" s="1"/>
      <c r="D16" s="1"/>
      <c r="E16" s="1"/>
      <c r="F16" s="1"/>
      <c r="G16" s="1"/>
      <c r="H16" s="1"/>
    </row>
    <row r="17" spans="1:8" ht="42" customHeight="1" x14ac:dyDescent="0.25">
      <c r="A17" s="57" t="s">
        <v>155</v>
      </c>
      <c r="B17" s="57"/>
      <c r="C17" s="57"/>
      <c r="D17" s="57"/>
      <c r="E17" s="57"/>
      <c r="F17" s="57"/>
      <c r="G17" s="57"/>
      <c r="H17" s="57"/>
    </row>
    <row r="19" spans="1:8" x14ac:dyDescent="0.25">
      <c r="A19" s="12" t="s">
        <v>156</v>
      </c>
      <c r="B19" s="12"/>
      <c r="C19" s="12"/>
      <c r="D19" s="12"/>
      <c r="E19" s="12"/>
      <c r="F19" s="12"/>
      <c r="G19" s="12"/>
      <c r="H19" s="12"/>
    </row>
    <row r="20" spans="1:8" ht="30" customHeight="1" x14ac:dyDescent="0.25">
      <c r="A20" s="11" t="s">
        <v>157</v>
      </c>
      <c r="B20" s="11"/>
      <c r="C20" s="11"/>
      <c r="D20" s="11"/>
      <c r="E20" s="11"/>
      <c r="F20" s="11"/>
      <c r="G20" s="11"/>
      <c r="H20" s="11"/>
    </row>
  </sheetData>
  <mergeCells count="14">
    <mergeCell ref="A16:H16"/>
    <mergeCell ref="A17:H17"/>
    <mergeCell ref="A19:H19"/>
    <mergeCell ref="A20:H20"/>
    <mergeCell ref="A8:H8"/>
    <mergeCell ref="A10:H10"/>
    <mergeCell ref="A11:H11"/>
    <mergeCell ref="A13:H13"/>
    <mergeCell ref="A14:H14"/>
    <mergeCell ref="A1:H1"/>
    <mergeCell ref="A2:H2"/>
    <mergeCell ref="A4:H4"/>
    <mergeCell ref="A5:H5"/>
    <mergeCell ref="A7:H7"/>
  </mergeCells>
  <pageMargins left="0.4" right="0.4" top="0.5" bottom="0.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Scenario Inputs</vt:lpstr>
      <vt:lpstr>13-Week Cash Flow</vt:lpstr>
      <vt:lpstr>Anomaly Detection</vt:lpstr>
      <vt:lpstr>Live Data Connection Guide</vt:lpstr>
      <vt:lpstr>AI Commentary Prompts</vt:lpstr>
      <vt:lpstr>'13-Week Cash Flow'!Print_Titles</vt:lpstr>
      <vt:lpstr>'Anomaly Detection'!Print_Titles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midragul</cp:lastModifiedBy>
  <cp:revision>0</cp:revision>
  <dcterms:created xsi:type="dcterms:W3CDTF">2026-08-21T07:46:39Z</dcterms:created>
  <dcterms:modified xsi:type="dcterms:W3CDTF">2026-08-21T07:52:37Z</dcterms:modified>
  <dc:language>en-US</dc:language>
</cp:coreProperties>
</file>