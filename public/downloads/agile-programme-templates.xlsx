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Prioritisation" sheetId="1" state="visible" r:id="rId3"/>
    <sheet name="Velocity Tracker" sheetId="2" state="visible" r:id="rId4"/>
    <sheet name="Release Road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<sst xmlns="http://schemas.openxmlformats.org/spreadsheetml/2006/main" count="74" uniqueCount="71">
  <si>
    <t xml:space="preserve">Backlog Prioritisation Matrix</t>
  </si>
  <si>
    <t xml:space="preserve">Score Business Value and Effort 1-5 for each item. Priority Score and Rank calculate automatically — higher Value for lower Effort ranks first (quick wins).</t>
  </si>
  <si>
    <t xml:space="preserve">Backlog</t>
  </si>
  <si>
    <t xml:space="preserve">Backlog Item</t>
  </si>
  <si>
    <t xml:space="preserve">Business Value (1-5)</t>
  </si>
  <si>
    <t xml:space="preserve">Effort (1-5)</t>
  </si>
  <si>
    <t xml:space="preserve">Priority Score</t>
  </si>
  <si>
    <t xml:space="preserve">Rank</t>
  </si>
  <si>
    <t xml:space="preserve">MoSCoW</t>
  </si>
  <si>
    <t xml:space="preserve">Notes</t>
  </si>
  <si>
    <t xml:space="preserve">Add multi-currency support to checkout</t>
  </si>
  <si>
    <t xml:space="preserve">Must</t>
  </si>
  <si>
    <t xml:space="preserve">Redesign onboarding email templates</t>
  </si>
  <si>
    <t xml:space="preserve">Should</t>
  </si>
  <si>
    <t xml:space="preserve">Migrate reporting to new data warehouse</t>
  </si>
  <si>
    <t xml:space="preserve">Add dark mode to dashboard</t>
  </si>
  <si>
    <t xml:space="preserve">Could</t>
  </si>
  <si>
    <t xml:space="preserve">Refactor legacy auth module</t>
  </si>
  <si>
    <t xml:space="preserve">Legend (MoSCoW)</t>
  </si>
  <si>
    <t xml:space="preserve">Must — non-negotiable for this release</t>
  </si>
  <si>
    <t xml:space="preserve">Should — important but not release-blocking</t>
  </si>
  <si>
    <t xml:space="preserve">Could — nice to have if time allows</t>
  </si>
  <si>
    <t xml:space="preserve">Won't — explicitly out of scope this time</t>
  </si>
  <si>
    <t xml:space="preserve">Priority Score = Business Value ÷ Effort. A high score means high value for relatively low effort (a quick win); use Rank alongside MoSCoW, not instead of it — a Rank-1 item that's tagged Won't this release stays Won't regardless of its score.</t>
  </si>
  <si>
    <t xml:space="preserve">Velocity Tracker</t>
  </si>
  <si>
    <t xml:space="preserve">Log Committed and Completed points each sprint. % Delivered, Rolling 3-Sprint Average, and the chart update automatically.</t>
  </si>
  <si>
    <t xml:space="preserve">Summary</t>
  </si>
  <si>
    <t xml:space="preserve">Average Velocity</t>
  </si>
  <si>
    <t xml:space="preserve">Last Sprint Velocity</t>
  </si>
  <si>
    <t xml:space="preserve">Best Sprint</t>
  </si>
  <si>
    <t xml:space="preserve">Sprint History</t>
  </si>
  <si>
    <t xml:space="preserve">Sprint</t>
  </si>
  <si>
    <t xml:space="preserve">Committed Points</t>
  </si>
  <si>
    <t xml:space="preserve">Completed Points</t>
  </si>
  <si>
    <t xml:space="preserve">% Delivered</t>
  </si>
  <si>
    <t xml:space="preserve">Rolling 3-Sprint Avg</t>
  </si>
  <si>
    <t xml:space="preserve">Sprint 1</t>
  </si>
  <si>
    <t xml:space="preserve">First sprint with new team composition</t>
  </si>
  <si>
    <t xml:space="preserve">Sprint 2</t>
  </si>
  <si>
    <t xml:space="preserve">Sprint 3</t>
  </si>
  <si>
    <t xml:space="preserve">Sprint 4</t>
  </si>
  <si>
    <t xml:space="preserve">One engineer out sick for 3 days</t>
  </si>
  <si>
    <t xml:space="preserve">Sprint 5</t>
  </si>
  <si>
    <t xml:space="preserve">Sprint 6</t>
  </si>
  <si>
    <t xml:space="preserve">Slightly ahead of plan</t>
  </si>
  <si>
    <t xml:space="preserve">Release Roadmap</t>
  </si>
  <si>
    <t xml:space="preserve">Track planned releases and their key features. Status calculates automatically from Target Date and Actual Release Date, the same way as the other date-driven trackers in this toolkit.</t>
  </si>
  <si>
    <t xml:space="preserve">Releases</t>
  </si>
  <si>
    <t xml:space="preserve">Release</t>
  </si>
  <si>
    <t xml:space="preserve">Key Features / Epics</t>
  </si>
  <si>
    <t xml:space="preserve">Sprint Range</t>
  </si>
  <si>
    <t xml:space="preserve">Target Date</t>
  </si>
  <si>
    <t xml:space="preserve">Actual Release Date</t>
  </si>
  <si>
    <t xml:space="preserve">Status</t>
  </si>
  <si>
    <t xml:space="preserve">v2.1</t>
  </si>
  <si>
    <t xml:space="preserve">Multi-currency checkout, onboarding email redesign</t>
  </si>
  <si>
    <t xml:space="preserve">Sprints 1-3</t>
  </si>
  <si>
    <t xml:space="preserve">v2.2</t>
  </si>
  <si>
    <t xml:space="preserve">Reporting data warehouse migration</t>
  </si>
  <si>
    <t xml:space="preserve">Sprints 4-6</t>
  </si>
  <si>
    <t xml:space="preserve">v2.3</t>
  </si>
  <si>
    <t xml:space="preserve">Dark mode, auth module refactor</t>
  </si>
  <si>
    <t xml:space="preserve">Sprints 7-9</t>
  </si>
  <si>
    <t xml:space="preserve">v2.4</t>
  </si>
  <si>
    <t xml:space="preserve">Next planned release, not yet due</t>
  </si>
  <si>
    <t xml:space="preserve">Sprints 10-12</t>
  </si>
  <si>
    <t xml:space="preserve">Legend</t>
  </si>
  <si>
    <t xml:space="preserve">Delayed — target date passed, not yet released</t>
  </si>
  <si>
    <t xml:space="preserve">Released Late — released after target date</t>
  </si>
  <si>
    <t xml:space="preserve">Released On Time</t>
  </si>
  <si>
    <t xml:space="preserve">Planned — target date still in the future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</si>
</sst>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"/>
    <numFmt numFmtId="168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A3C5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F2F2F2"/>
        <bgColor rgb="FFEAECEE"/>
      </patternFill>
    </fill>
    <fill>
      <patternFill patternType="solid">
        <fgColor rgb="FFE74C3C"/>
        <bgColor rgb="FFFF8080"/>
      </patternFill>
    </fill>
    <fill>
      <patternFill patternType="solid">
        <fgColor rgb="FFF39C12"/>
        <bgColor rgb="FFFFCC00"/>
      </patternFill>
    </fill>
    <fill>
      <patternFill patternType="solid">
        <fgColor rgb="FFD6EAF8"/>
        <bgColor rgb="FFEAECEE"/>
      </patternFill>
    </fill>
    <fill>
      <patternFill patternType="solid">
        <fgColor rgb="FFEAECEE"/>
        <bgColor rgb="FFF2F2F2"/>
      </patternFill>
    </fill>
    <fill>
      <patternFill patternType="solid">
        <fgColor rgb="FF1E844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E74C3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39C12"/>
        </patternFill>
      </fill>
    </dxf>
    <dxf>
      <font>
        <name val="Arial"/>
        <charset val="1"/>
        <family val="0"/>
        <b val="1"/>
        <color rgb="FF21618C"/>
      </font>
      <fill>
        <patternFill>
          <bgColor rgb="FFD6EAF8"/>
        </patternFill>
      </fill>
    </dxf>
    <dxf>
      <font>
        <name val="Arial"/>
        <charset val="1"/>
        <family val="0"/>
        <b val="1"/>
        <color rgb="FF7B7D7D"/>
      </font>
      <fill>
        <patternFill>
          <bgColor rgb="FFEAECE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E844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6EAF8"/>
      <rgbColor rgb="FF660066"/>
      <rgbColor rgb="FFFF8080"/>
      <rgbColor rgb="FF21618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C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7B7D7D"/>
      <rgbColor rgb="FF878787"/>
      <rgbColor rgb="FF1A3C5E"/>
      <rgbColor rgb="FF1E8449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Velocity Trend (Completed Points per Sprint)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'Velocity Tracker'!C9</c:f>
              <c:strCache>
                <c:ptCount val="1"/>
                <c:pt idx="0">
                  <c:v>Completed Points</c:v>
                </c:pt>
              </c:strCache>
            </c:strRef>
          </c:tx>
          <c:spPr>
            <a:solidFill>
              <a:srgbClr val="1a3c5e"/>
            </a:solidFill>
            <a:ln w="24840">
              <a:solidFill>
                <a:srgbClr val="1a3c5e"/>
              </a:solidFill>
              <a:round/>
            </a:ln>
          </c:spPr>
          <c:marker>
            <c:symbol val="circle"/>
            <c:size val="7"/>
            <c:spPr>
              <a:solidFill>
                <a:srgbClr val="1a3c5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'Velocity Tracker'!$A$10:$A$15</c:f>
              <c:strCache>
                <c:ptCount val="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</c:strCache>
            </c:strRef>
          </c:cat>
          <c:val>
            <c:numRef>
              <c:f>'Velocity Tracker'!$C$10:$C$15</c:f>
              <c:numCache>
                <c:formatCode>General</c:formatCode>
                <c:ptCount val="6"/>
                <c:pt idx="0">
                  <c:v>26</c:v>
                </c:pt>
                <c:pt idx="1">
                  <c:v>29</c:v>
                </c:pt>
                <c:pt idx="2">
                  <c:v>31</c:v>
                </c:pt>
                <c:pt idx="3">
                  <c:v>30</c:v>
                </c:pt>
                <c:pt idx="4">
                  <c:v>33</c:v>
                </c:pt>
                <c:pt idx="5">
                  <c:v>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982408"/>
        <c:axId val="37773396"/>
      </c:lineChart>
      <c:catAx>
        <c:axId val="879824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73396"/>
        <c:crosses val="autoZero"/>
        <c:auto val="1"/>
        <c:lblAlgn val="ctr"/>
        <c:lblOffset val="100"/>
        <c:noMultiLvlLbl val="0"/>
      </c:catAx>
      <c:valAx>
        <c:axId val="37773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824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5</xdr:col>
      <xdr:colOff>1545840</xdr:colOff>
      <xdr:row>32</xdr:row>
      <xdr:rowOff>22320</xdr:rowOff>
    </xdr:to>
    <xdr:graphicFrame>
      <xdr:nvGraphicFramePr>
        <xdr:cNvPr id="0" name="Chart 1"/>
        <xdr:cNvGraphicFramePr/>
      </xdr:nvGraphicFramePr>
      <xdr:xfrm>
        <a:off x="0" y="50198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30" hidden="false" customHeight="true" outlineLevel="0" collapsed="false">
      <c r="A6" s="5" t="s">
        <v>10</v>
      </c>
      <c r="B6" s="6" t="n">
        <v>5</v>
      </c>
      <c r="C6" s="6" t="n">
        <v>3</v>
      </c>
      <c r="D6" s="7" t="n">
        <f aca="false">IF(OR(B6="",C6=""),"",ROUND(B6/C6,2))</f>
        <v>1.67</v>
      </c>
      <c r="E6" s="7" t="n">
        <f aca="false">IF(D6="","",RANK(D6,D$6:D$10))</f>
        <v>2</v>
      </c>
      <c r="F6" s="6" t="s">
        <v>11</v>
      </c>
      <c r="G6" s="5"/>
    </row>
    <row r="7" customFormat="false" ht="30" hidden="false" customHeight="true" outlineLevel="0" collapsed="false">
      <c r="A7" s="8" t="s">
        <v>12</v>
      </c>
      <c r="B7" s="9" t="n">
        <v>3</v>
      </c>
      <c r="C7" s="9" t="n">
        <v>1</v>
      </c>
      <c r="D7" s="10" t="n">
        <f aca="false">IF(OR(B7="",C7=""),"",ROUND(B7/C7,2))</f>
        <v>3</v>
      </c>
      <c r="E7" s="10" t="n">
        <f aca="false">IF(D7="","",RANK(D7,D$6:D$10))</f>
        <v>1</v>
      </c>
      <c r="F7" s="9" t="s">
        <v>13</v>
      </c>
      <c r="G7" s="8"/>
    </row>
    <row r="8" customFormat="false" ht="30" hidden="false" customHeight="true" outlineLevel="0" collapsed="false">
      <c r="A8" s="8" t="s">
        <v>14</v>
      </c>
      <c r="B8" s="9" t="n">
        <v>4</v>
      </c>
      <c r="C8" s="9" t="n">
        <v>5</v>
      </c>
      <c r="D8" s="10" t="n">
        <f aca="false">IF(OR(B8="",C8=""),"",ROUND(B8/C8,2))</f>
        <v>0.8</v>
      </c>
      <c r="E8" s="10" t="n">
        <f aca="false">IF(D8="","",RANK(D8,D$6:D$10))</f>
        <v>4</v>
      </c>
      <c r="F8" s="9" t="s">
        <v>11</v>
      </c>
      <c r="G8" s="8"/>
    </row>
    <row r="9" customFormat="false" ht="30" hidden="false" customHeight="true" outlineLevel="0" collapsed="false">
      <c r="A9" s="8" t="s">
        <v>15</v>
      </c>
      <c r="B9" s="9" t="n">
        <v>2</v>
      </c>
      <c r="C9" s="9" t="n">
        <v>2</v>
      </c>
      <c r="D9" s="10" t="n">
        <f aca="false">IF(OR(B9="",C9=""),"",ROUND(B9/C9,2))</f>
        <v>1</v>
      </c>
      <c r="E9" s="10" t="n">
        <f aca="false">IF(D9="","",RANK(D9,D$6:D$10))</f>
        <v>3</v>
      </c>
      <c r="F9" s="9" t="s">
        <v>16</v>
      </c>
      <c r="G9" s="8"/>
    </row>
    <row r="10" customFormat="false" ht="30" hidden="false" customHeight="true" outlineLevel="0" collapsed="false">
      <c r="A10" s="8" t="s">
        <v>17</v>
      </c>
      <c r="B10" s="9" t="n">
        <v>3</v>
      </c>
      <c r="C10" s="9" t="n">
        <v>4</v>
      </c>
      <c r="D10" s="10" t="n">
        <f aca="false">IF(OR(B10="",C10=""),"",ROUND(B10/C10,2))</f>
        <v>0.75</v>
      </c>
      <c r="E10" s="10" t="n">
        <f aca="false">IF(D10="","",RANK(D10,D$6:D$10))</f>
        <v>5</v>
      </c>
      <c r="F10" s="9" t="s">
        <v>13</v>
      </c>
      <c r="G10" s="8"/>
    </row>
    <row r="13" customFormat="false" ht="15" hidden="false" customHeight="false" outlineLevel="0" collapsed="false">
      <c r="A13" s="11" t="s">
        <v>18</v>
      </c>
    </row>
    <row r="14" customFormat="false" ht="15" hidden="false" customHeight="false" outlineLevel="0" collapsed="false">
      <c r="A14" s="12"/>
      <c r="B14" s="13" t="s">
        <v>19</v>
      </c>
    </row>
    <row r="15" customFormat="false" ht="15" hidden="false" customHeight="false" outlineLevel="0" collapsed="false">
      <c r="A15" s="14"/>
      <c r="B15" s="13" t="s">
        <v>20</v>
      </c>
    </row>
    <row r="16" customFormat="false" ht="15" hidden="false" customHeight="false" outlineLevel="0" collapsed="false">
      <c r="A16" s="15"/>
      <c r="B16" s="13" t="s">
        <v>21</v>
      </c>
    </row>
    <row r="17" customFormat="false" ht="15" hidden="false" customHeight="false" outlineLevel="0" collapsed="false">
      <c r="A17" s="16"/>
      <c r="B17" s="13" t="s">
        <v>22</v>
      </c>
    </row>
    <row r="19" customFormat="false" ht="19.4" hidden="false" customHeight="true" outlineLevel="0" collapsed="false">
      <c r="A19" s="17" t="s">
        <v>23</v>
      </c>
      <c r="B19" s="17"/>
      <c r="C19" s="17"/>
      <c r="D19" s="17"/>
      <c r="E19" s="17"/>
      <c r="F19" s="17"/>
      <c r="G19" s="17"/>
    </row>
  </sheetData>
  <mergeCells count="4">
    <mergeCell ref="A1:G1"/>
    <mergeCell ref="A2:G2"/>
    <mergeCell ref="A4:G4"/>
    <mergeCell ref="A19:G19"/>
  </mergeCells>
  <conditionalFormatting sqref="F6:F10">
    <cfRule type="cellIs" priority="2" operator="equal" aboveAverage="0" equalAverage="0" bottom="0" percent="0" rank="0" text="" dxfId="0">
      <formula>"Must"</formula>
    </cfRule>
    <cfRule type="cellIs" priority="3" operator="equal" aboveAverage="0" equalAverage="0" bottom="0" percent="0" rank="0" text="" dxfId="1">
      <formula>"Should"</formula>
    </cfRule>
    <cfRule type="cellIs" priority="4" operator="equal" aboveAverage="0" equalAverage="0" bottom="0" percent="0" rank="0" text="" dxfId="2">
      <formula>"Could"</formula>
    </cfRule>
    <cfRule type="cellIs" priority="5" operator="equal" aboveAverage="0" equalAverage="0" bottom="0" percent="0" rank="0" text="" dxfId="3">
      <formula>"Won't"</formula>
    </cfRule>
  </conditionalFormatting>
  <dataValidations count="2">
    <dataValidation allowBlank="true" error="Choose Must, Should, Could, or Won't." errorStyle="stop" errorTitle="Invalid MoSCoW value" operator="between" showDropDown="false" showErrorMessage="false" showInputMessage="false" sqref="F6:F10" type="list">
      <formula1>"Must,Should,Could,Won't"</formula1>
      <formula2>0</formula2>
    </dataValidation>
    <dataValidation allowBlank="true" error="Enter a whole number from 1 to 5." errorStyle="stop" errorTitle="Invalid score" operator="between" showDropDown="false" showErrorMessage="false" showInputMessage="false" sqref="B6:C1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5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30" hidden="false" customHeight="true" outlineLevel="0" collapsed="false">
      <c r="A1" s="1" t="s">
        <v>24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25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26</v>
      </c>
      <c r="B4" s="3"/>
      <c r="C4" s="3"/>
      <c r="D4" s="3"/>
      <c r="E4" s="3"/>
      <c r="F4" s="3"/>
    </row>
    <row r="5" customFormat="false" ht="25.5" hidden="false" customHeight="true" outlineLevel="0" collapsed="false">
      <c r="A5" s="4" t="s">
        <v>27</v>
      </c>
      <c r="B5" s="4" t="s">
        <v>28</v>
      </c>
      <c r="C5" s="4" t="s">
        <v>29</v>
      </c>
    </row>
    <row r="6" customFormat="false" ht="25.5" hidden="false" customHeight="true" outlineLevel="0" collapsed="false">
      <c r="A6" s="18" t="n">
        <f aca="false">ROUND(AVERAGE(C10:C15),1)</f>
        <v>30.7</v>
      </c>
      <c r="B6" s="18" t="n">
        <f aca="false">C15</f>
        <v>35</v>
      </c>
      <c r="C6" s="18" t="n">
        <f aca="false">MAX(C10:C15)</f>
        <v>35</v>
      </c>
    </row>
    <row r="8" customFormat="false" ht="15" hidden="false" customHeight="false" outlineLevel="0" collapsed="false">
      <c r="A8" s="3" t="s">
        <v>30</v>
      </c>
      <c r="B8" s="3"/>
      <c r="C8" s="3"/>
      <c r="D8" s="3"/>
      <c r="E8" s="3"/>
      <c r="F8" s="3"/>
    </row>
    <row r="9" customFormat="false" ht="30" hidden="false" customHeight="true" outlineLevel="0" collapsed="false">
      <c r="A9" s="4" t="s">
        <v>31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9</v>
      </c>
    </row>
    <row r="10" customFormat="false" ht="27.75" hidden="false" customHeight="true" outlineLevel="0" collapsed="false">
      <c r="A10" s="6" t="s">
        <v>36</v>
      </c>
      <c r="B10" s="6" t="n">
        <v>30</v>
      </c>
      <c r="C10" s="6" t="n">
        <v>26</v>
      </c>
      <c r="D10" s="19" t="n">
        <f aca="false">IF(OR(B10="",C10=""),"",C10/B10)</f>
        <v>0.866666666666667</v>
      </c>
      <c r="E10" s="7" t="str">
        <f aca="false">""</f>
        <v/>
      </c>
      <c r="F10" s="5" t="s">
        <v>37</v>
      </c>
    </row>
    <row r="11" customFormat="false" ht="27.75" hidden="false" customHeight="true" outlineLevel="0" collapsed="false">
      <c r="A11" s="9" t="s">
        <v>38</v>
      </c>
      <c r="B11" s="9" t="n">
        <v>30</v>
      </c>
      <c r="C11" s="9" t="n">
        <v>29</v>
      </c>
      <c r="D11" s="20" t="n">
        <f aca="false">IF(OR(B11="",C11=""),"",C11/B11)</f>
        <v>0.966666666666667</v>
      </c>
      <c r="E11" s="10" t="str">
        <f aca="false">""</f>
        <v/>
      </c>
      <c r="F11" s="8"/>
    </row>
    <row r="12" customFormat="false" ht="27.75" hidden="false" customHeight="true" outlineLevel="0" collapsed="false">
      <c r="A12" s="9" t="s">
        <v>39</v>
      </c>
      <c r="B12" s="9" t="n">
        <v>32</v>
      </c>
      <c r="C12" s="9" t="n">
        <v>31</v>
      </c>
      <c r="D12" s="20" t="n">
        <f aca="false">IF(OR(B12="",C12=""),"",C12/B12)</f>
        <v>0.96875</v>
      </c>
      <c r="E12" s="21" t="n">
        <f aca="false">AVERAGE(C10:C12)</f>
        <v>28.6666666666667</v>
      </c>
      <c r="F12" s="8"/>
    </row>
    <row r="13" customFormat="false" ht="27.75" hidden="false" customHeight="true" outlineLevel="0" collapsed="false">
      <c r="A13" s="9" t="s">
        <v>40</v>
      </c>
      <c r="B13" s="9" t="n">
        <v>32</v>
      </c>
      <c r="C13" s="9" t="n">
        <v>30</v>
      </c>
      <c r="D13" s="20" t="n">
        <f aca="false">IF(OR(B13="",C13=""),"",C13/B13)</f>
        <v>0.9375</v>
      </c>
      <c r="E13" s="21" t="n">
        <f aca="false">AVERAGE(C11:C13)</f>
        <v>30</v>
      </c>
      <c r="F13" s="8" t="s">
        <v>41</v>
      </c>
    </row>
    <row r="14" customFormat="false" ht="27.75" hidden="false" customHeight="true" outlineLevel="0" collapsed="false">
      <c r="A14" s="9" t="s">
        <v>42</v>
      </c>
      <c r="B14" s="9" t="n">
        <v>34</v>
      </c>
      <c r="C14" s="9" t="n">
        <v>33</v>
      </c>
      <c r="D14" s="20" t="n">
        <f aca="false">IF(OR(B14="",C14=""),"",C14/B14)</f>
        <v>0.970588235294118</v>
      </c>
      <c r="E14" s="21" t="n">
        <f aca="false">AVERAGE(C12:C14)</f>
        <v>31.3333333333333</v>
      </c>
      <c r="F14" s="8"/>
    </row>
    <row r="15" customFormat="false" ht="27.75" hidden="false" customHeight="true" outlineLevel="0" collapsed="false">
      <c r="A15" s="9" t="s">
        <v>43</v>
      </c>
      <c r="B15" s="9" t="n">
        <v>34</v>
      </c>
      <c r="C15" s="9" t="n">
        <v>35</v>
      </c>
      <c r="D15" s="20" t="n">
        <f aca="false">IF(OR(B15="",C15=""),"",C15/B15)</f>
        <v>1.02941176470588</v>
      </c>
      <c r="E15" s="21" t="n">
        <f aca="false">AVERAGE(C13:C15)</f>
        <v>32.6666666666667</v>
      </c>
      <c r="F15" s="8" t="s">
        <v>44</v>
      </c>
    </row>
  </sheetData>
  <mergeCells count="4">
    <mergeCell ref="A1:F1"/>
    <mergeCell ref="A2:F2"/>
    <mergeCell ref="A4:F4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4" min="3" style="0" width="13"/>
    <col collapsed="false" customWidth="true" hidden="false" outlineLevel="0" max="6" min="5" style="0" width="15"/>
  </cols>
  <sheetData>
    <row r="1" customFormat="false" ht="30" hidden="false" customHeight="true" outlineLevel="0" collapsed="false">
      <c r="A1" s="1" t="s">
        <v>45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46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47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48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</row>
    <row r="6" customFormat="false" ht="31.5" hidden="false" customHeight="true" outlineLevel="0" collapsed="false">
      <c r="A6" s="6" t="s">
        <v>54</v>
      </c>
      <c r="B6" s="5" t="s">
        <v>55</v>
      </c>
      <c r="C6" s="6" t="s">
        <v>56</v>
      </c>
      <c r="D6" s="22" t="n">
        <v>45702</v>
      </c>
      <c r="E6" s="22" t="n">
        <v>45700</v>
      </c>
      <c r="F6" s="23" t="str">
        <f aca="true">IF(D6="","",IF(E6&lt;&gt;"",IF(E6&lt;=D6,"Released On Time","Released Late"),IF(D6&lt;TODAY(),"Delayed","Planned")))</f>
        <v>Released On Time</v>
      </c>
    </row>
    <row r="7" customFormat="false" ht="31.5" hidden="false" customHeight="true" outlineLevel="0" collapsed="false">
      <c r="A7" s="9" t="s">
        <v>57</v>
      </c>
      <c r="B7" s="8" t="s">
        <v>58</v>
      </c>
      <c r="C7" s="9" t="s">
        <v>59</v>
      </c>
      <c r="D7" s="24" t="n">
        <v>45751</v>
      </c>
      <c r="E7" s="24" t="n">
        <v>45757</v>
      </c>
      <c r="F7" s="25" t="str">
        <f aca="true">IF(D7="","",IF(E7&lt;&gt;"",IF(E7&lt;=D7,"Released On Time","Released Late"),IF(D7&lt;TODAY(),"Delayed","Planned")))</f>
        <v>Released Late</v>
      </c>
    </row>
    <row r="8" customFormat="false" ht="31.5" hidden="false" customHeight="true" outlineLevel="0" collapsed="false">
      <c r="A8" s="9" t="s">
        <v>60</v>
      </c>
      <c r="B8" s="8" t="s">
        <v>61</v>
      </c>
      <c r="C8" s="9" t="s">
        <v>62</v>
      </c>
      <c r="D8" s="24" t="n">
        <v>45800</v>
      </c>
      <c r="E8" s="24"/>
      <c r="F8" s="25" t="str">
        <f aca="true">IF(D8="","",IF(E8&lt;&gt;"",IF(E8&lt;=D8,"Released On Time","Released Late"),IF(D8&lt;TODAY(),"Delayed","Planned")))</f>
        <v>Delayed</v>
      </c>
    </row>
    <row r="9" customFormat="false" ht="31.5" hidden="false" customHeight="true" outlineLevel="0" collapsed="false">
      <c r="A9" s="9" t="s">
        <v>63</v>
      </c>
      <c r="B9" s="8" t="s">
        <v>64</v>
      </c>
      <c r="C9" s="9" t="s">
        <v>65</v>
      </c>
      <c r="D9" s="24" t="n">
        <v>46447</v>
      </c>
      <c r="E9" s="24"/>
      <c r="F9" s="25" t="str">
        <f aca="true">IF(D9="","",IF(E9&lt;&gt;"",IF(E9&lt;=D9,"Released On Time","Released Late"),IF(D9&lt;TODAY(),"Delayed","Planned")))</f>
        <v>Planned</v>
      </c>
    </row>
    <row r="12" customFormat="false" ht="15" hidden="false" customHeight="false" outlineLevel="0" collapsed="false">
      <c r="A12" s="11" t="s">
        <v>66</v>
      </c>
    </row>
    <row r="13" customFormat="false" ht="15" hidden="false" customHeight="false" outlineLevel="0" collapsed="false">
      <c r="A13" s="12"/>
      <c r="B13" s="13" t="s">
        <v>67</v>
      </c>
    </row>
    <row r="14" customFormat="false" ht="15" hidden="false" customHeight="false" outlineLevel="0" collapsed="false">
      <c r="A14" s="14"/>
      <c r="B14" s="13" t="s">
        <v>68</v>
      </c>
    </row>
    <row r="15" customFormat="false" ht="15" hidden="false" customHeight="false" outlineLevel="0" collapsed="false">
      <c r="A15" s="26"/>
      <c r="B15" s="13" t="s">
        <v>69</v>
      </c>
    </row>
    <row r="16" customFormat="false" ht="15" hidden="false" customHeight="false" outlineLevel="0" collapsed="false">
      <c r="A16" s="15"/>
      <c r="B16" s="13" t="s">
        <v>70</v>
      </c>
    </row>
  </sheetData>
  <mergeCells count="3">
    <mergeCell ref="A1:F1"/>
    <mergeCell ref="A2:F2"/>
    <mergeCell ref="A4:F4"/>
  </mergeCells>
  <conditionalFormatting sqref="F6:F9">
    <cfRule type="cellIs" priority="2" operator="equal" aboveAverage="0" equalAverage="0" bottom="0" percent="0" rank="0" text="" dxfId="0">
      <formula>"Delayed"</formula>
    </cfRule>
    <cfRule type="cellIs" priority="3" operator="equal" aboveAverage="0" equalAverage="0" bottom="0" percent="0" rank="0" text="" dxfId="1">
      <formula>"Released Late"</formula>
    </cfRule>
    <cfRule type="cellIs" priority="4" operator="equal" aboveAverage="0" equalAverage="0" bottom="0" percent="0" rank="0" text="" dxfId="4">
      <formula>"Released On Time"</formula>
    </cfRule>
    <cfRule type="cellIs" priority="5" operator="equal" aboveAverage="0" equalAverage="0" bottom="0" percent="0" rank="0" text="" dxfId="2">
      <formula>"Planned"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2026-09-07T14:07:03Z</dcterms:created>
  <dc:creator>openpyxl</dc:creator>
  <dc:description/>
  <dc:language>en-US</dc:language>
  <cp:lastModifiedBy/>
  <dcterms:modified xsi:type="dcterms:W3CDTF">2026-09-07T14:07:05Z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