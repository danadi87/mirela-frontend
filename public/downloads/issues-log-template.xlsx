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ssues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<sst xmlns="http://schemas.openxmlformats.org/spreadsheetml/2006/main" count="27" uniqueCount="26">
  <si>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Issues Log Template</t>
  </si>
  <si>
    <t xml:space="preserve">Log every open item as it's raised. Fill in the cells shaded light grey below the header row. Priority and Status use dropdown lists — click the cell and choose from the list. "Days Remaining" calculates automatically from the Target Resolution Date.</t>
  </si>
  <si>
    <t xml:space="preserve">ID</t>
  </si>
  <si>
    <t xml:space="preserve">Issue Description</t>
  </si>
  <si>
    <t xml:space="preserve">Owner</t>
  </si>
  <si>
    <t xml:space="preserve">Priority</t>
  </si>
  <si>
    <t xml:space="preserve">Date Raised</t>
  </si>
  <si>
    <t xml:space="preserve">Target Resolution Date</t>
  </si>
  <si>
    <t xml:space="preserve">Days Remaining</t>
  </si>
  <si>
    <t xml:space="preserve">Status</t>
  </si>
  <si>
    <t xml:space="preserve">Notes</t>
  </si>
  <si>
    <t xml:space="preserve">EX-01</t>
  </si>
  <si>
    <t xml:space="preserve">Example: Vendor invoice missing PO number, held in AP queue</t>
  </si>
  <si>
    <t xml:space="preserve">J. Alvarez</t>
  </si>
  <si>
    <t xml:space="preserve">High</t>
  </si>
  <si>
    <t xml:space="preserve">2025-01-06</t>
  </si>
  <si>
    <t xml:space="preserve">2025-01-13</t>
  </si>
  <si>
    <t xml:space="preserve">In Progress</t>
  </si>
  <si>
    <t xml:space="preserve">Follow up with vendor for corrected invoice</t>
  </si>
  <si>
    <t xml:space="preserve">Legend</t>
  </si>
  <si>
    <t xml:space="preserve">High priority</t>
  </si>
  <si>
    <t xml:space="preserve">Medium priority</t>
  </si>
  <si>
    <t xml:space="preserve">Low priority</t>
  </si>
  <si>
    <t xml:space="preserve">Open</t>
  </si>
  <si>
    <t xml:space="preserve">Closed</t>
  </si>
  <si>
    <t xml:space="preserve">Overdue (past target date, not closed)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</si>
</sst>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A3C5E"/>
      <name val="Arial"/>
      <family val="0"/>
      <charset val="1"/>
    </font>
    <font>
      <sz val="9"/>
      <color rgb="FF40404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3C5E"/>
        <bgColor rgb="FF404040"/>
      </patternFill>
    </fill>
    <fill>
      <patternFill patternType="solid">
        <fgColor rgb="FFF2F2F2"/>
        <bgColor rgb="FFEAECEE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D6EAF8"/>
      </patternFill>
    </fill>
    <fill>
      <patternFill patternType="solid">
        <fgColor rgb="FFD6EAF8"/>
        <bgColor rgb="FFD5F5E3"/>
      </patternFill>
    </fill>
    <fill>
      <patternFill patternType="solid">
        <fgColor rgb="FFEAECEE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0"/>
        <b val="1"/>
        <color rgb="FFC0392B"/>
      </font>
      <fill>
        <patternFill>
          <bgColor rgb="FFFADBD8"/>
        </patternFill>
      </fill>
    </dxf>
    <dxf>
      <font>
        <name val="Arial"/>
        <charset val="1"/>
        <family val="0"/>
        <b val="1"/>
        <color rgb="FFB9770E"/>
      </font>
      <fill>
        <patternFill>
          <bgColor rgb="FFFDEBD0"/>
        </patternFill>
      </fill>
    </dxf>
    <dxf>
      <font>
        <name val="Arial"/>
        <charset val="1"/>
        <family val="0"/>
        <b val="1"/>
        <color rgb="FF1E8449"/>
      </font>
      <fill>
        <patternFill>
          <bgColor rgb="FFD5F5E3"/>
        </patternFill>
      </fill>
    </dxf>
    <dxf>
      <font>
        <name val="Arial"/>
        <charset val="1"/>
        <family val="0"/>
        <b val="1"/>
        <color rgb="FF21618C"/>
      </font>
      <fill>
        <patternFill>
          <bgColor rgb="FFD6EAF8"/>
        </patternFill>
      </fill>
    </dxf>
    <dxf>
      <font>
        <name val="Arial"/>
        <charset val="1"/>
        <family val="0"/>
        <b val="1"/>
        <color rgb="FF7B7D7D"/>
      </font>
      <fill>
        <patternFill>
          <bgColor rgb="FFEAEC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9770E"/>
      <rgbColor rgb="FF800080"/>
      <rgbColor rgb="FF008080"/>
      <rgbColor rgb="FFC0C0C0"/>
      <rgbColor rgb="FF808080"/>
      <rgbColor rgb="FF9999FF"/>
      <rgbColor rgb="FF993366"/>
      <rgbColor rgb="FFFDEBD0"/>
      <rgbColor rgb="FFD6EAF8"/>
      <rgbColor rgb="FF660066"/>
      <rgbColor rgb="FFFF8080"/>
      <rgbColor rgb="FF21618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ECEE"/>
      <rgbColor rgb="FFD5F5E3"/>
      <rgbColor rgb="FFF2F2F2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F9900"/>
      <rgbColor rgb="FFFF6600"/>
      <rgbColor rgb="FF7B7D7D"/>
      <rgbColor rgb="FF969696"/>
      <rgbColor rgb="FF1A3C5E"/>
      <rgbColor rgb="FF1E8449"/>
      <rgbColor rgb="FF003300"/>
      <rgbColor rgb="FF333300"/>
      <rgbColor rgb="FFC0392B"/>
      <rgbColor rgb="FF993366"/>
      <rgbColor rgb="FF59595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8" min="7" style="0" width="14"/>
    <col collapsed="false" customWidth="true" hidden="false" outlineLevel="0" max="9" min="9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3.85" hidden="false" customHeight="false" outlineLevel="0" collapsed="false">
      <c r="A5" s="4" t="s">
        <v>11</v>
      </c>
      <c r="B5" s="5" t="s">
        <v>12</v>
      </c>
      <c r="C5" s="5" t="s">
        <v>13</v>
      </c>
      <c r="D5" s="4" t="s">
        <v>14</v>
      </c>
      <c r="E5" s="6" t="s">
        <v>15</v>
      </c>
      <c r="F5" s="6" t="s">
        <v>16</v>
      </c>
      <c r="G5" s="7" t="n">
        <f aca="true">F5-TODAY()</f>
        <v>-602</v>
      </c>
      <c r="H5" s="4" t="s">
        <v>17</v>
      </c>
      <c r="I5" s="5" t="s">
        <v>18</v>
      </c>
    </row>
    <row r="6" customFormat="false" ht="15" hidden="false" customHeight="false" outlineLevel="0" collapsed="false">
      <c r="A6" s="8"/>
      <c r="B6" s="9"/>
      <c r="C6" s="9"/>
      <c r="D6" s="8"/>
      <c r="E6" s="10"/>
      <c r="F6" s="10"/>
      <c r="G6" s="8" t="str">
        <f aca="true">IF(F6="","",F6-TODAY())</f>
        <v/>
      </c>
      <c r="H6" s="8"/>
      <c r="I6" s="9"/>
    </row>
    <row r="7" customFormat="false" ht="15" hidden="false" customHeight="false" outlineLevel="0" collapsed="false">
      <c r="A7" s="8"/>
      <c r="B7" s="9"/>
      <c r="C7" s="9"/>
      <c r="D7" s="8"/>
      <c r="E7" s="10"/>
      <c r="F7" s="10"/>
      <c r="G7" s="8" t="str">
        <f aca="true">IF(F7="","",F7-TODAY())</f>
        <v/>
      </c>
      <c r="H7" s="8"/>
      <c r="I7" s="9"/>
    </row>
    <row r="8" customFormat="false" ht="15" hidden="false" customHeight="false" outlineLevel="0" collapsed="false">
      <c r="A8" s="8"/>
      <c r="B8" s="9"/>
      <c r="C8" s="9"/>
      <c r="D8" s="8"/>
      <c r="E8" s="10"/>
      <c r="F8" s="10"/>
      <c r="G8" s="8" t="str">
        <f aca="true">IF(F8="","",F8-TODAY())</f>
        <v/>
      </c>
      <c r="H8" s="8"/>
      <c r="I8" s="9"/>
    </row>
    <row r="9" customFormat="false" ht="15" hidden="false" customHeight="false" outlineLevel="0" collapsed="false">
      <c r="A9" s="8"/>
      <c r="B9" s="9"/>
      <c r="C9" s="9"/>
      <c r="D9" s="8"/>
      <c r="E9" s="10"/>
      <c r="F9" s="10"/>
      <c r="G9" s="8" t="str">
        <f aca="true">IF(F9="","",F9-TODAY())</f>
        <v/>
      </c>
      <c r="H9" s="8"/>
      <c r="I9" s="9"/>
    </row>
    <row r="10" customFormat="false" ht="15" hidden="false" customHeight="false" outlineLevel="0" collapsed="false">
      <c r="A10" s="8"/>
      <c r="B10" s="9"/>
      <c r="C10" s="9"/>
      <c r="D10" s="8"/>
      <c r="E10" s="10"/>
      <c r="F10" s="10"/>
      <c r="G10" s="8" t="str">
        <f aca="true">IF(F10="","",F10-TODAY())</f>
        <v/>
      </c>
      <c r="H10" s="8"/>
      <c r="I10" s="9"/>
    </row>
    <row r="11" customFormat="false" ht="15" hidden="false" customHeight="false" outlineLevel="0" collapsed="false">
      <c r="A11" s="8"/>
      <c r="B11" s="9"/>
      <c r="C11" s="9"/>
      <c r="D11" s="8"/>
      <c r="E11" s="10"/>
      <c r="F11" s="10"/>
      <c r="G11" s="8" t="str">
        <f aca="true">IF(F11="","",F11-TODAY())</f>
        <v/>
      </c>
      <c r="H11" s="8"/>
      <c r="I11" s="9"/>
    </row>
    <row r="12" customFormat="false" ht="15" hidden="false" customHeight="false" outlineLevel="0" collapsed="false">
      <c r="A12" s="8"/>
      <c r="B12" s="9"/>
      <c r="C12" s="9"/>
      <c r="D12" s="8"/>
      <c r="E12" s="10"/>
      <c r="F12" s="10"/>
      <c r="G12" s="8" t="str">
        <f aca="true">IF(F12="","",F12-TODAY())</f>
        <v/>
      </c>
      <c r="H12" s="8"/>
      <c r="I12" s="9"/>
    </row>
    <row r="13" customFormat="false" ht="15" hidden="false" customHeight="false" outlineLevel="0" collapsed="false">
      <c r="A13" s="8"/>
      <c r="B13" s="9"/>
      <c r="C13" s="9"/>
      <c r="D13" s="8"/>
      <c r="E13" s="10"/>
      <c r="F13" s="10"/>
      <c r="G13" s="8" t="str">
        <f aca="true">IF(F13="","",F13-TODAY())</f>
        <v/>
      </c>
      <c r="H13" s="8"/>
      <c r="I13" s="9"/>
    </row>
    <row r="14" customFormat="false" ht="15" hidden="false" customHeight="false" outlineLevel="0" collapsed="false">
      <c r="A14" s="8"/>
      <c r="B14" s="9"/>
      <c r="C14" s="9"/>
      <c r="D14" s="8"/>
      <c r="E14" s="10"/>
      <c r="F14" s="10"/>
      <c r="G14" s="8" t="str">
        <f aca="true">IF(F14="","",F14-TODAY())</f>
        <v/>
      </c>
      <c r="H14" s="8"/>
      <c r="I14" s="9"/>
    </row>
    <row r="15" customFormat="false" ht="15" hidden="false" customHeight="false" outlineLevel="0" collapsed="false">
      <c r="A15" s="8"/>
      <c r="B15" s="9"/>
      <c r="C15" s="9"/>
      <c r="D15" s="8"/>
      <c r="E15" s="10"/>
      <c r="F15" s="10"/>
      <c r="G15" s="8" t="str">
        <f aca="true">IF(F15="","",F15-TODAY())</f>
        <v/>
      </c>
      <c r="H15" s="8"/>
      <c r="I15" s="9"/>
    </row>
    <row r="16" customFormat="false" ht="15" hidden="false" customHeight="false" outlineLevel="0" collapsed="false">
      <c r="A16" s="8"/>
      <c r="B16" s="9"/>
      <c r="C16" s="9"/>
      <c r="D16" s="8"/>
      <c r="E16" s="10"/>
      <c r="F16" s="10"/>
      <c r="G16" s="8" t="str">
        <f aca="true">IF(F16="","",F16-TODAY())</f>
        <v/>
      </c>
      <c r="H16" s="8"/>
      <c r="I16" s="9"/>
    </row>
    <row r="17" customFormat="false" ht="15" hidden="false" customHeight="false" outlineLevel="0" collapsed="false">
      <c r="A17" s="8"/>
      <c r="B17" s="9"/>
      <c r="C17" s="9"/>
      <c r="D17" s="8"/>
      <c r="E17" s="10"/>
      <c r="F17" s="10"/>
      <c r="G17" s="8" t="str">
        <f aca="true">IF(F17="","",F17-TODAY())</f>
        <v/>
      </c>
      <c r="H17" s="8"/>
      <c r="I17" s="9"/>
    </row>
    <row r="18" customFormat="false" ht="15" hidden="false" customHeight="false" outlineLevel="0" collapsed="false">
      <c r="A18" s="8"/>
      <c r="B18" s="9"/>
      <c r="C18" s="9"/>
      <c r="D18" s="8"/>
      <c r="E18" s="10"/>
      <c r="F18" s="10"/>
      <c r="G18" s="8" t="str">
        <f aca="true">IF(F18="","",F18-TODAY())</f>
        <v/>
      </c>
      <c r="H18" s="8"/>
      <c r="I18" s="9"/>
    </row>
    <row r="19" customFormat="false" ht="15" hidden="false" customHeight="false" outlineLevel="0" collapsed="false">
      <c r="A19" s="8"/>
      <c r="B19" s="9"/>
      <c r="C19" s="9"/>
      <c r="D19" s="8"/>
      <c r="E19" s="10"/>
      <c r="F19" s="10"/>
      <c r="G19" s="8" t="str">
        <f aca="true">IF(F19="","",F19-TODAY())</f>
        <v/>
      </c>
      <c r="H19" s="8"/>
      <c r="I19" s="9"/>
    </row>
    <row r="20" customFormat="false" ht="15" hidden="false" customHeight="false" outlineLevel="0" collapsed="false">
      <c r="A20" s="8"/>
      <c r="B20" s="9"/>
      <c r="C20" s="9"/>
      <c r="D20" s="8"/>
      <c r="E20" s="10"/>
      <c r="F20" s="10"/>
      <c r="G20" s="8" t="str">
        <f aca="true">IF(F20="","",F20-TODAY())</f>
        <v/>
      </c>
      <c r="H20" s="8"/>
      <c r="I20" s="9"/>
    </row>
    <row r="21" customFormat="false" ht="15" hidden="false" customHeight="false" outlineLevel="0" collapsed="false">
      <c r="A21" s="8"/>
      <c r="B21" s="9"/>
      <c r="C21" s="9"/>
      <c r="D21" s="8"/>
      <c r="E21" s="10"/>
      <c r="F21" s="10"/>
      <c r="G21" s="8" t="str">
        <f aca="true">IF(F21="","",F21-TODAY())</f>
        <v/>
      </c>
      <c r="H21" s="8"/>
      <c r="I21" s="9"/>
    </row>
    <row r="22" customFormat="false" ht="15" hidden="false" customHeight="false" outlineLevel="0" collapsed="false">
      <c r="A22" s="8"/>
      <c r="B22" s="9"/>
      <c r="C22" s="9"/>
      <c r="D22" s="8"/>
      <c r="E22" s="10"/>
      <c r="F22" s="10"/>
      <c r="G22" s="8" t="str">
        <f aca="true">IF(F22="","",F22-TODAY())</f>
        <v/>
      </c>
      <c r="H22" s="8"/>
      <c r="I22" s="9"/>
    </row>
    <row r="23" customFormat="false" ht="15" hidden="false" customHeight="false" outlineLevel="0" collapsed="false">
      <c r="A23" s="8"/>
      <c r="B23" s="9"/>
      <c r="C23" s="9"/>
      <c r="D23" s="8"/>
      <c r="E23" s="10"/>
      <c r="F23" s="10"/>
      <c r="G23" s="8" t="str">
        <f aca="true">IF(F23="","",F23-TODAY())</f>
        <v/>
      </c>
      <c r="H23" s="8"/>
      <c r="I23" s="9"/>
    </row>
    <row r="24" customFormat="false" ht="15" hidden="false" customHeight="false" outlineLevel="0" collapsed="false">
      <c r="A24" s="8"/>
      <c r="B24" s="9"/>
      <c r="C24" s="9"/>
      <c r="D24" s="8"/>
      <c r="E24" s="10"/>
      <c r="F24" s="10"/>
      <c r="G24" s="8" t="str">
        <f aca="true">IF(F24="","",F24-TODAY())</f>
        <v/>
      </c>
      <c r="H24" s="8"/>
      <c r="I24" s="9"/>
    </row>
    <row r="25" customFormat="false" ht="15" hidden="false" customHeight="false" outlineLevel="0" collapsed="false">
      <c r="A25" s="8"/>
      <c r="B25" s="9"/>
      <c r="C25" s="9"/>
      <c r="D25" s="8"/>
      <c r="E25" s="10"/>
      <c r="F25" s="10"/>
      <c r="G25" s="8" t="str">
        <f aca="true">IF(F25="","",F25-TODAY())</f>
        <v/>
      </c>
      <c r="H25" s="8"/>
      <c r="I25" s="9"/>
    </row>
    <row r="26" customFormat="false" ht="15" hidden="false" customHeight="false" outlineLevel="0" collapsed="false">
      <c r="A26" s="8"/>
      <c r="B26" s="9"/>
      <c r="C26" s="9"/>
      <c r="D26" s="8"/>
      <c r="E26" s="10"/>
      <c r="F26" s="10"/>
      <c r="G26" s="8" t="str">
        <f aca="true">IF(F26="","",F26-TODAY())</f>
        <v/>
      </c>
      <c r="H26" s="8"/>
      <c r="I26" s="9"/>
    </row>
    <row r="27" customFormat="false" ht="15" hidden="false" customHeight="false" outlineLevel="0" collapsed="false">
      <c r="A27" s="8"/>
      <c r="B27" s="9"/>
      <c r="C27" s="9"/>
      <c r="D27" s="8"/>
      <c r="E27" s="10"/>
      <c r="F27" s="10"/>
      <c r="G27" s="8" t="str">
        <f aca="true">IF(F27="","",F27-TODAY())</f>
        <v/>
      </c>
      <c r="H27" s="8"/>
      <c r="I27" s="9"/>
    </row>
    <row r="28" customFormat="false" ht="15" hidden="false" customHeight="false" outlineLevel="0" collapsed="false">
      <c r="A28" s="8"/>
      <c r="B28" s="9"/>
      <c r="C28" s="9"/>
      <c r="D28" s="8"/>
      <c r="E28" s="10"/>
      <c r="F28" s="10"/>
      <c r="G28" s="8" t="str">
        <f aca="true">IF(F28="","",F28-TODAY())</f>
        <v/>
      </c>
      <c r="H28" s="8"/>
      <c r="I28" s="9"/>
    </row>
    <row r="29" customFormat="false" ht="15" hidden="false" customHeight="false" outlineLevel="0" collapsed="false">
      <c r="A29" s="8"/>
      <c r="B29" s="9"/>
      <c r="C29" s="9"/>
      <c r="D29" s="8"/>
      <c r="E29" s="10"/>
      <c r="F29" s="10"/>
      <c r="G29" s="8" t="str">
        <f aca="true">IF(F29="","",F29-TODAY())</f>
        <v/>
      </c>
      <c r="H29" s="8"/>
      <c r="I29" s="9"/>
    </row>
    <row r="30" customFormat="false" ht="15" hidden="false" customHeight="false" outlineLevel="0" collapsed="false">
      <c r="A30" s="8"/>
      <c r="B30" s="9"/>
      <c r="C30" s="9"/>
      <c r="D30" s="8"/>
      <c r="E30" s="10"/>
      <c r="F30" s="10"/>
      <c r="G30" s="8" t="str">
        <f aca="true">IF(F30="","",F30-TODAY())</f>
        <v/>
      </c>
      <c r="H30" s="8"/>
      <c r="I30" s="9"/>
    </row>
    <row r="31" customFormat="false" ht="15" hidden="false" customHeight="false" outlineLevel="0" collapsed="false">
      <c r="A31" s="8"/>
      <c r="B31" s="9"/>
      <c r="C31" s="9"/>
      <c r="D31" s="8"/>
      <c r="E31" s="10"/>
      <c r="F31" s="10"/>
      <c r="G31" s="8" t="str">
        <f aca="true">IF(F31="","",F31-TODAY())</f>
        <v/>
      </c>
      <c r="H31" s="8"/>
      <c r="I31" s="9"/>
    </row>
    <row r="32" customFormat="false" ht="15" hidden="false" customHeight="false" outlineLevel="0" collapsed="false">
      <c r="A32" s="8"/>
      <c r="B32" s="9"/>
      <c r="C32" s="9"/>
      <c r="D32" s="8"/>
      <c r="E32" s="10"/>
      <c r="F32" s="10"/>
      <c r="G32" s="8" t="str">
        <f aca="true">IF(F32="","",F32-TODAY())</f>
        <v/>
      </c>
      <c r="H32" s="8"/>
      <c r="I32" s="9"/>
    </row>
    <row r="33" customFormat="false" ht="15" hidden="false" customHeight="false" outlineLevel="0" collapsed="false">
      <c r="A33" s="8"/>
      <c r="B33" s="9"/>
      <c r="C33" s="9"/>
      <c r="D33" s="8"/>
      <c r="E33" s="10"/>
      <c r="F33" s="10"/>
      <c r="G33" s="8" t="str">
        <f aca="true">IF(F33="","",F33-TODAY())</f>
        <v/>
      </c>
      <c r="H33" s="8"/>
      <c r="I33" s="9"/>
    </row>
    <row r="34" customFormat="false" ht="15" hidden="false" customHeight="false" outlineLevel="0" collapsed="false">
      <c r="A34" s="8"/>
      <c r="B34" s="9"/>
      <c r="C34" s="9"/>
      <c r="D34" s="8"/>
      <c r="E34" s="10"/>
      <c r="F34" s="10"/>
      <c r="G34" s="8" t="str">
        <f aca="true">IF(F34="","",F34-TODAY())</f>
        <v/>
      </c>
      <c r="H34" s="8"/>
      <c r="I34" s="9"/>
    </row>
    <row r="35" customFormat="false" ht="15" hidden="false" customHeight="false" outlineLevel="0" collapsed="false">
      <c r="A35" s="8"/>
      <c r="B35" s="9"/>
      <c r="C35" s="9"/>
      <c r="D35" s="8"/>
      <c r="E35" s="10"/>
      <c r="F35" s="10"/>
      <c r="G35" s="8" t="str">
        <f aca="true">IF(F35="","",F35-TODAY())</f>
        <v/>
      </c>
      <c r="H35" s="8"/>
      <c r="I35" s="9"/>
    </row>
    <row r="36" customFormat="false" ht="15" hidden="false" customHeight="false" outlineLevel="0" collapsed="false">
      <c r="A36" s="8"/>
      <c r="B36" s="9"/>
      <c r="C36" s="9"/>
      <c r="D36" s="8"/>
      <c r="E36" s="10"/>
      <c r="F36" s="10"/>
      <c r="G36" s="8" t="str">
        <f aca="true">IF(F36="","",F36-TODAY())</f>
        <v/>
      </c>
      <c r="H36" s="8"/>
      <c r="I36" s="9"/>
    </row>
    <row r="37" customFormat="false" ht="15" hidden="false" customHeight="false" outlineLevel="0" collapsed="false">
      <c r="A37" s="8"/>
      <c r="B37" s="9"/>
      <c r="C37" s="9"/>
      <c r="D37" s="8"/>
      <c r="E37" s="10"/>
      <c r="F37" s="10"/>
      <c r="G37" s="8" t="str">
        <f aca="true">IF(F37="","",F37-TODAY())</f>
        <v/>
      </c>
      <c r="H37" s="8"/>
      <c r="I37" s="9"/>
    </row>
    <row r="38" customFormat="false" ht="15" hidden="false" customHeight="false" outlineLevel="0" collapsed="false">
      <c r="A38" s="8"/>
      <c r="B38" s="9"/>
      <c r="C38" s="9"/>
      <c r="D38" s="8"/>
      <c r="E38" s="10"/>
      <c r="F38" s="10"/>
      <c r="G38" s="8" t="str">
        <f aca="true">IF(F38="","",F38-TODAY())</f>
        <v/>
      </c>
      <c r="H38" s="8"/>
      <c r="I38" s="9"/>
    </row>
    <row r="39" customFormat="false" ht="15" hidden="false" customHeight="false" outlineLevel="0" collapsed="false">
      <c r="A39" s="8"/>
      <c r="B39" s="9"/>
      <c r="C39" s="9"/>
      <c r="D39" s="8"/>
      <c r="E39" s="10"/>
      <c r="F39" s="10"/>
      <c r="G39" s="8" t="str">
        <f aca="true">IF(F39="","",F39-TODAY())</f>
        <v/>
      </c>
      <c r="H39" s="8"/>
      <c r="I39" s="9"/>
    </row>
    <row r="40" customFormat="false" ht="15" hidden="false" customHeight="false" outlineLevel="0" collapsed="false">
      <c r="A40" s="8"/>
      <c r="B40" s="9"/>
      <c r="C40" s="9"/>
      <c r="D40" s="8"/>
      <c r="E40" s="10"/>
      <c r="F40" s="10"/>
      <c r="G40" s="8" t="str">
        <f aca="true">IF(F40="","",F40-TODAY())</f>
        <v/>
      </c>
      <c r="H40" s="8"/>
      <c r="I40" s="9"/>
    </row>
    <row r="41" customFormat="false" ht="15" hidden="false" customHeight="false" outlineLevel="0" collapsed="false">
      <c r="A41" s="8"/>
      <c r="B41" s="9"/>
      <c r="C41" s="9"/>
      <c r="D41" s="8"/>
      <c r="E41" s="10"/>
      <c r="F41" s="10"/>
      <c r="G41" s="8" t="str">
        <f aca="true">IF(F41="","",F41-TODAY())</f>
        <v/>
      </c>
      <c r="H41" s="8"/>
      <c r="I41" s="9"/>
    </row>
    <row r="42" customFormat="false" ht="15" hidden="false" customHeight="false" outlineLevel="0" collapsed="false">
      <c r="A42" s="8"/>
      <c r="B42" s="9"/>
      <c r="C42" s="9"/>
      <c r="D42" s="8"/>
      <c r="E42" s="10"/>
      <c r="F42" s="10"/>
      <c r="G42" s="8" t="str">
        <f aca="true">IF(F42="","",F42-TODAY())</f>
        <v/>
      </c>
      <c r="H42" s="8"/>
      <c r="I42" s="9"/>
    </row>
    <row r="43" customFormat="false" ht="15" hidden="false" customHeight="false" outlineLevel="0" collapsed="false">
      <c r="A43" s="8"/>
      <c r="B43" s="9"/>
      <c r="C43" s="9"/>
      <c r="D43" s="8"/>
      <c r="E43" s="10"/>
      <c r="F43" s="10"/>
      <c r="G43" s="8" t="str">
        <f aca="true">IF(F43="","",F43-TODAY())</f>
        <v/>
      </c>
      <c r="H43" s="8"/>
      <c r="I43" s="9"/>
    </row>
    <row r="44" customFormat="false" ht="15" hidden="false" customHeight="false" outlineLevel="0" collapsed="false">
      <c r="A44" s="8"/>
      <c r="B44" s="9"/>
      <c r="C44" s="9"/>
      <c r="D44" s="8"/>
      <c r="E44" s="10"/>
      <c r="F44" s="10"/>
      <c r="G44" s="8" t="str">
        <f aca="true">IF(F44="","",F44-TODAY())</f>
        <v/>
      </c>
      <c r="H44" s="8"/>
      <c r="I44" s="9"/>
    </row>
    <row r="45" customFormat="false" ht="15" hidden="false" customHeight="false" outlineLevel="0" collapsed="false">
      <c r="A45" s="8"/>
      <c r="B45" s="9"/>
      <c r="C45" s="9"/>
      <c r="D45" s="8"/>
      <c r="E45" s="10"/>
      <c r="F45" s="10"/>
      <c r="G45" s="8" t="str">
        <f aca="true">IF(F45="","",F45-TODAY())</f>
        <v/>
      </c>
      <c r="H45" s="8"/>
      <c r="I45" s="9"/>
    </row>
    <row r="48" customFormat="false" ht="15" hidden="false" customHeight="false" outlineLevel="0" collapsed="false">
      <c r="A48" s="11" t="s">
        <v>19</v>
      </c>
      <c r="B48" s="11"/>
      <c r="C48" s="11"/>
      <c r="D48" s="11"/>
      <c r="E48" s="11"/>
      <c r="F48" s="11"/>
      <c r="G48" s="11"/>
      <c r="H48" s="11"/>
      <c r="I48" s="11"/>
    </row>
    <row r="49" customFormat="false" ht="15" hidden="false" customHeight="false" outlineLevel="0" collapsed="false">
      <c r="A49" s="12"/>
      <c r="B49" s="13" t="s">
        <v>20</v>
      </c>
    </row>
    <row r="50" customFormat="false" ht="15" hidden="false" customHeight="false" outlineLevel="0" collapsed="false">
      <c r="A50" s="14"/>
      <c r="B50" s="13" t="s">
        <v>21</v>
      </c>
    </row>
    <row r="51" customFormat="false" ht="15" hidden="false" customHeight="false" outlineLevel="0" collapsed="false">
      <c r="A51" s="15"/>
      <c r="B51" s="13" t="s">
        <v>22</v>
      </c>
    </row>
    <row r="52" customFormat="false" ht="15" hidden="false" customHeight="false" outlineLevel="0" collapsed="false">
      <c r="A52" s="14"/>
      <c r="B52" s="13" t="s">
        <v>23</v>
      </c>
    </row>
    <row r="53" customFormat="false" ht="15" hidden="false" customHeight="false" outlineLevel="0" collapsed="false">
      <c r="A53" s="16"/>
      <c r="B53" s="13" t="s">
        <v>17</v>
      </c>
    </row>
    <row r="54" customFormat="false" ht="15" hidden="false" customHeight="false" outlineLevel="0" collapsed="false">
      <c r="A54" s="17"/>
      <c r="B54" s="13" t="s">
        <v>24</v>
      </c>
    </row>
    <row r="55" customFormat="false" ht="15" hidden="false" customHeight="false" outlineLevel="0" collapsed="false">
      <c r="A55" s="12"/>
      <c r="B55" s="13" t="s">
        <v>25</v>
      </c>
    </row>
  </sheetData>
  <mergeCells count="3">
    <mergeCell ref="A1:I1"/>
    <mergeCell ref="A2:I2"/>
    <mergeCell ref="A48:I48"/>
  </mergeCells>
  <conditionalFormatting sqref="D5:D45">
    <cfRule type="cellIs" priority="2" operator="equal" aboveAverage="0" equalAverage="0" bottom="0" percent="0" rank="0" text="" dxfId="0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2">
      <formula>"Low"</formula>
    </cfRule>
  </conditionalFormatting>
  <conditionalFormatting sqref="H5:H45">
    <cfRule type="cellIs" priority="5" operator="equal" aboveAverage="0" equalAverage="0" bottom="0" percent="0" rank="0" text="" dxfId="1">
      <formula>"Open"</formula>
    </cfRule>
    <cfRule type="cellIs" priority="6" operator="equal" aboveAverage="0" equalAverage="0" bottom="0" percent="0" rank="0" text="" dxfId="3">
      <formula>"In Progress"</formula>
    </cfRule>
    <cfRule type="cellIs" priority="7" operator="equal" aboveAverage="0" equalAverage="0" bottom="0" percent="0" rank="0" text="" dxfId="4">
      <formula>"Closed"</formula>
    </cfRule>
  </conditionalFormatting>
  <conditionalFormatting sqref="G5:G45">
    <cfRule type="expression" priority="8" aboveAverage="0" equalAverage="0" bottom="0" percent="0" rank="0" text="" dxfId="0">
      <formula>AND(ISNUMBER(G5),G5&lt;0,H5&lt;&gt;"Closed")</formula>
    </cfRule>
  </conditionalFormatting>
  <dataValidations count="2">
    <dataValidation allowBlank="true" error="Please choose High, Medium, or Low from the list." errorStyle="stop" errorTitle="Invalid Priority" operator="between" showDropDown="false" showErrorMessage="false" showInputMessage="false" sqref="D6:D45" type="list">
      <formula1>"High,Medium,Low"</formula1>
      <formula2>0</formula2>
    </dataValidation>
    <dataValidation allowBlank="true" error="Please choose Open, In Progress, or Closed from the list." errorStyle="stop" errorTitle="Invalid Status" operator="between" showDropDown="false" showErrorMessage="false" showInputMessage="false" sqref="H6:H45" type="list">
      <formula1>"Open,In Progress,Closed"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2026-09-07T07:51:34Z</dcterms:created>
  <dc:creator>openpyxl</dc:creator>
  <dc:description/>
  <dc:language>en-US</dc:language>
  <cp:lastModifiedBy/>
  <dcterms:modified xsi:type="dcterms:W3CDTF">2026-09-07T07:51:34Z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