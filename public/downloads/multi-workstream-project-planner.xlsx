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  <sheet name="Resource Allocation" sheetId="2" state="visible" r:id="rId4"/>
    <sheet name="Milestone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<sst xmlns="http://schemas.openxmlformats.org/spreadsheetml/2006/main" count="135" uniqueCount="74">
  <si>
    <t xml:space="preserve">Multi-Workstream Project Planner — Gantt Chart</t>
  </si>
  <si>
    <t xml:space="preserve">Enter Start/End dates and % Complete per task. The timeline bar, RAG Status, and the Workstream Summary above all calculate automatically from these two inputs.</t>
  </si>
  <si>
    <t xml:space="preserve">Workstream Summary (RAG rollup)</t>
  </si>
  <si>
    <t xml:space="preserve">Workstream</t>
  </si>
  <si>
    <t xml:space="preserve">Overall RAG</t>
  </si>
  <si>
    <t xml:space="preserve">Workstream 1</t>
  </si>
  <si>
    <t xml:space="preserve">Workstream 2</t>
  </si>
  <si>
    <t xml:space="preserve">Workstream 3</t>
  </si>
  <si>
    <t xml:space="preserve">Workstream 4</t>
  </si>
  <si>
    <t xml:space="preserve">Workstream 5</t>
  </si>
  <si>
    <t xml:space="preserve">Workstream 6</t>
  </si>
  <si>
    <t xml:space="preserve">Workstream 7</t>
  </si>
  <si>
    <t xml:space="preserve">Workstream 8</t>
  </si>
  <si>
    <t xml:space="preserve">Task Detail &amp; Timeline</t>
  </si>
  <si>
    <t xml:space="preserve">Task</t>
  </si>
  <si>
    <t xml:space="preserve">Owner</t>
  </si>
  <si>
    <t xml:space="preserve">Start Date</t>
  </si>
  <si>
    <t xml:space="preserve">End Date</t>
  </si>
  <si>
    <t xml:space="preserve">% Complete</t>
  </si>
  <si>
    <t xml:space="preserve">Critical Path?</t>
  </si>
  <si>
    <t xml:space="preserve">RAG Status</t>
  </si>
  <si>
    <t xml:space="preserve">Data migration mapping complete</t>
  </si>
  <si>
    <t xml:space="preserve">R. Ionescu</t>
  </si>
  <si>
    <t xml:space="preserve">Yes</t>
  </si>
  <si>
    <t xml:space="preserve">Vendor contract finalized</t>
  </si>
  <si>
    <t xml:space="preserve">M. Nowak</t>
  </si>
  <si>
    <t xml:space="preserve">UAT test cases drafted</t>
  </si>
  <si>
    <t xml:space="preserve">J. Alvarez</t>
  </si>
  <si>
    <t xml:space="preserve">No</t>
  </si>
  <si>
    <t xml:space="preserve">Training materials outline</t>
  </si>
  <si>
    <t xml:space="preserve">T. Dinescu</t>
  </si>
  <si>
    <t xml:space="preserve">Infrastructure provisioning</t>
  </si>
  <si>
    <t xml:space="preserve">Reporting requirements sign-off</t>
  </si>
  <si>
    <t xml:space="preserve">Security review</t>
  </si>
  <si>
    <t xml:space="preserve">Change management plan</t>
  </si>
  <si>
    <t xml:space="preserve">Legend</t>
  </si>
  <si>
    <t xml:space="preserve">Red — behind schedule by &gt;20%, or overdue and incomplete</t>
  </si>
  <si>
    <t xml:space="preserve">Amber — behind schedule by 5-20%</t>
  </si>
  <si>
    <t xml:space="preserve">Green — on schedule or ahead, or complete</t>
  </si>
  <si>
    <t xml:space="preserve">Not Started — start date still in the future</t>
  </si>
  <si>
    <t xml:space="preserve">RAG Status compares % Complete to where the task “should” be given today’s date and its Start/End dates. Critical Path tasks (marked Yes) render as red bars in the timeline regardless of their RAG status — that column flags schedule dependency risk, not current health.</t>
  </si>
  <si>
    <t xml:space="preserve">Resource Allocation Matrix</t>
  </si>
  <si>
    <t xml:space="preserve">Enter each person's Available Capacity and their % allocation across the 8 workstreams. Total Allocated and Utilisation calculate automatically — see the Resource Capacity Planner resource for a full 15-person version with gap alerts.</t>
  </si>
  <si>
    <t xml:space="preserve">Allocation</t>
  </si>
  <si>
    <t xml:space="preserve">Team Member</t>
  </si>
  <si>
    <t xml:space="preserve">Available Capacity</t>
  </si>
  <si>
    <t xml:space="preserve">Total Allocated</t>
  </si>
  <si>
    <t xml:space="preserve">Utilisation</t>
  </si>
  <si>
    <t xml:space="preserve">Milestone Dashboard</t>
  </si>
  <si>
    <t xml:space="preserve">One key milestone per workstream. Status calculates automatically — it turns red the moment a Planned Date passes with no Actual Date entered.</t>
  </si>
  <si>
    <t xml:space="preserve">Summary</t>
  </si>
  <si>
    <t xml:space="preserve">Total Milestones</t>
  </si>
  <si>
    <t xml:space="preserve">Completed On Time</t>
  </si>
  <si>
    <t xml:space="preserve">Completed Late</t>
  </si>
  <si>
    <t xml:space="preserve">Delayed</t>
  </si>
  <si>
    <t xml:space="preserve">Upcoming</t>
  </si>
  <si>
    <t xml:space="preserve">Milestones</t>
  </si>
  <si>
    <t xml:space="preserve">Milestone</t>
  </si>
  <si>
    <t xml:space="preserve">Planned Date</t>
  </si>
  <si>
    <t xml:space="preserve">Actual Date</t>
  </si>
  <si>
    <t xml:space="preserve">Status</t>
  </si>
  <si>
    <t xml:space="preserve">Notes</t>
  </si>
  <si>
    <t xml:space="preserve">Data migration complete</t>
  </si>
  <si>
    <t xml:space="preserve">Migrated a day ahead of plan</t>
  </si>
  <si>
    <t xml:space="preserve">Vendor contract signed</t>
  </si>
  <si>
    <t xml:space="preserve">Minor delay in legal review</t>
  </si>
  <si>
    <t xml:space="preserve">UAT test cases approved</t>
  </si>
  <si>
    <t xml:space="preserve">Training rollout complete</t>
  </si>
  <si>
    <t xml:space="preserve">Infrastructure live</t>
  </si>
  <si>
    <t xml:space="preserve">Overdue — provisioning delay, see Gantt Chart</t>
  </si>
  <si>
    <t xml:space="preserve">Reporting sign-off</t>
  </si>
  <si>
    <t xml:space="preserve">Overdue — stakeholder review pending</t>
  </si>
  <si>
    <t xml:space="preserve">Security review passed</t>
  </si>
  <si>
    <t xml:space="preserve">Change management plan approved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</si>
</sst>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"/>
    <numFmt numFmtId="166" formatCode="yyyy\-mm\-dd"/>
    <numFmt numFmtId="167" formatCode="0%"/>
    <numFmt numFmtId="168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A3C5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i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40404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C5E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E74C3C"/>
        <bgColor rgb="FFC0392B"/>
      </patternFill>
    </fill>
    <fill>
      <patternFill patternType="solid">
        <fgColor rgb="FFF39C12"/>
        <bgColor rgb="FFFFCC00"/>
      </patternFill>
    </fill>
    <fill>
      <patternFill patternType="solid">
        <fgColor rgb="FF1E8449"/>
        <bgColor rgb="FF008080"/>
      </patternFill>
    </fill>
    <fill>
      <patternFill patternType="solid">
        <fgColor rgb="FFAAB7B8"/>
        <bgColor rgb="FF969696"/>
      </patternFill>
    </fill>
    <fill>
      <patternFill patternType="solid">
        <fgColor rgb="FFD6EAF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2E86C1"/>
        </patternFill>
      </fill>
    </dxf>
    <dxf>
      <fill>
        <patternFill>
          <bgColor rgb="FFC0392B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74C3C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39C12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E8449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AAB7B8"/>
        </patternFill>
      </fill>
    </dxf>
    <dxf>
      <font>
        <name val="Arial"/>
        <charset val="1"/>
        <family val="0"/>
        <b val="1"/>
        <color rgb="FF21618C"/>
      </font>
      <fill>
        <patternFill>
          <bgColor rgb="FFD6EAF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7B8"/>
      <rgbColor rgb="FF808080"/>
      <rgbColor rgb="FF9999FF"/>
      <rgbColor rgb="FF993366"/>
      <rgbColor rgb="FFF2F2F2"/>
      <rgbColor rgb="FFD6EAF8"/>
      <rgbColor rgb="FF660066"/>
      <rgbColor rgb="FFFF8080"/>
      <rgbColor rgb="FF21618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39C12"/>
      <rgbColor rgb="FFE74C3C"/>
      <rgbColor rgb="FF595959"/>
      <rgbColor rgb="FF969696"/>
      <rgbColor rgb="FF1A3C5E"/>
      <rgbColor rgb="FF1E8449"/>
      <rgbColor rgb="FF003300"/>
      <rgbColor rgb="FF333300"/>
      <rgbColor rgb="FFC0392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24" min="9" style="0" width="6.5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customFormat="false" ht="21.75" hidden="false" customHeight="true" outlineLevel="0" collapsed="false">
      <c r="A5" s="4" t="s">
        <v>3</v>
      </c>
      <c r="B5" s="4" t="s">
        <v>4</v>
      </c>
    </row>
    <row r="6" customFormat="false" ht="19.5" hidden="false" customHeight="true" outlineLevel="0" collapsed="false">
      <c r="A6" s="5" t="s">
        <v>5</v>
      </c>
      <c r="B6" s="6" t="str">
        <f aca="false">IF(COUNTIF(H17:H19,"Red")&gt;0,"Red",IF(COUNTIF(H17:H19,"Amber")&gt;0,"Amber",IF(COUNTIF(H17:H19,"Green")&gt;0,"Green",IF(COUNTIF(H17:H19,"Not Started")&gt;0,"Not Started",""))))</f>
        <v>Green</v>
      </c>
    </row>
    <row r="7" customFormat="false" ht="19.5" hidden="false" customHeight="true" outlineLevel="0" collapsed="false">
      <c r="A7" s="5" t="s">
        <v>6</v>
      </c>
      <c r="B7" s="6" t="str">
        <f aca="false">IF(COUNTIF(H20:H22,"Red")&gt;0,"Red",IF(COUNTIF(H20:H22,"Amber")&gt;0,"Amber",IF(COUNTIF(H20:H22,"Green")&gt;0,"Green",IF(COUNTIF(H20:H22,"Not Started")&gt;0,"Not Started",""))))</f>
        <v>Green</v>
      </c>
    </row>
    <row r="8" customFormat="false" ht="19.5" hidden="false" customHeight="true" outlineLevel="0" collapsed="false">
      <c r="A8" s="5" t="s">
        <v>7</v>
      </c>
      <c r="B8" s="6" t="str">
        <f aca="false">IF(COUNTIF(H23:H25,"Red")&gt;0,"Red",IF(COUNTIF(H23:H25,"Amber")&gt;0,"Amber",IF(COUNTIF(H23:H25,"Green")&gt;0,"Green",IF(COUNTIF(H23:H25,"Not Started")&gt;0,"Not Started",""))))</f>
        <v>Not Started</v>
      </c>
    </row>
    <row r="9" customFormat="false" ht="19.5" hidden="false" customHeight="true" outlineLevel="0" collapsed="false">
      <c r="A9" s="5" t="s">
        <v>8</v>
      </c>
      <c r="B9" s="6" t="str">
        <f aca="false">IF(COUNTIF(H26:H28,"Red")&gt;0,"Red",IF(COUNTIF(H26:H28,"Amber")&gt;0,"Amber",IF(COUNTIF(H26:H28,"Green")&gt;0,"Green",IF(COUNTIF(H26:H28,"Not Started")&gt;0,"Not Started",""))))</f>
        <v>Amber</v>
      </c>
    </row>
    <row r="10" customFormat="false" ht="19.5" hidden="false" customHeight="true" outlineLevel="0" collapsed="false">
      <c r="A10" s="5" t="s">
        <v>9</v>
      </c>
      <c r="B10" s="6" t="str">
        <f aca="false">IF(COUNTIF(H29:H31,"Red")&gt;0,"Red",IF(COUNTIF(H29:H31,"Amber")&gt;0,"Amber",IF(COUNTIF(H29:H31,"Green")&gt;0,"Green",IF(COUNTIF(H29:H31,"Not Started")&gt;0,"Not Started",""))))</f>
        <v>Red</v>
      </c>
    </row>
    <row r="11" customFormat="false" ht="19.5" hidden="false" customHeight="true" outlineLevel="0" collapsed="false">
      <c r="A11" s="5" t="s">
        <v>10</v>
      </c>
      <c r="B11" s="6" t="str">
        <f aca="false">IF(COUNTIF(H32:H34,"Red")&gt;0,"Red",IF(COUNTIF(H32:H34,"Amber")&gt;0,"Amber",IF(COUNTIF(H32:H34,"Green")&gt;0,"Green",IF(COUNTIF(H32:H34,"Not Started")&gt;0,"Not Started",""))))</f>
        <v>Red</v>
      </c>
    </row>
    <row r="12" customFormat="false" ht="19.5" hidden="false" customHeight="true" outlineLevel="0" collapsed="false">
      <c r="A12" s="5" t="s">
        <v>11</v>
      </c>
      <c r="B12" s="6" t="str">
        <f aca="false">IF(COUNTIF(H35:H37,"Red")&gt;0,"Red",IF(COUNTIF(H35:H37,"Amber")&gt;0,"Amber",IF(COUNTIF(H35:H37,"Green")&gt;0,"Green",IF(COUNTIF(H35:H37,"Not Started")&gt;0,"Not Started",""))))</f>
        <v>Green</v>
      </c>
    </row>
    <row r="13" customFormat="false" ht="19.5" hidden="false" customHeight="true" outlineLevel="0" collapsed="false">
      <c r="A13" s="5" t="s">
        <v>12</v>
      </c>
      <c r="B13" s="6" t="str">
        <f aca="false">IF(COUNTIF(H38:H40,"Red")&gt;0,"Red",IF(COUNTIF(H38:H40,"Amber")&gt;0,"Amber",IF(COUNTIF(H38:H40,"Green")&gt;0,"Green",IF(COUNTIF(H38:H40,"Not Started")&gt;0,"Not Started",""))))</f>
        <v>Amber</v>
      </c>
    </row>
    <row r="15" customFormat="false" ht="15" hidden="false" customHeight="false" outlineLevel="0" collapsed="false">
      <c r="A15" s="3" t="s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customFormat="false" ht="39.75" hidden="false" customHeight="true" outlineLevel="0" collapsed="false">
      <c r="A16" s="7" t="s">
        <v>3</v>
      </c>
      <c r="B16" s="7" t="s">
        <v>14</v>
      </c>
      <c r="C16" s="7" t="s">
        <v>15</v>
      </c>
      <c r="D16" s="7" t="s">
        <v>16</v>
      </c>
      <c r="E16" s="7" t="s">
        <v>17</v>
      </c>
      <c r="F16" s="7" t="s">
        <v>18</v>
      </c>
      <c r="G16" s="7" t="s">
        <v>19</v>
      </c>
      <c r="H16" s="7" t="s">
        <v>20</v>
      </c>
      <c r="I16" s="8" t="n">
        <v>46230</v>
      </c>
      <c r="J16" s="8" t="n">
        <v>46237</v>
      </c>
      <c r="K16" s="8" t="n">
        <v>46244</v>
      </c>
      <c r="L16" s="8" t="n">
        <v>46251</v>
      </c>
      <c r="M16" s="8" t="n">
        <v>46258</v>
      </c>
      <c r="N16" s="8" t="n">
        <v>46265</v>
      </c>
      <c r="O16" s="8" t="n">
        <v>46272</v>
      </c>
      <c r="P16" s="8" t="n">
        <v>46279</v>
      </c>
      <c r="Q16" s="8" t="n">
        <v>46286</v>
      </c>
      <c r="R16" s="8" t="n">
        <v>46293</v>
      </c>
      <c r="S16" s="8" t="n">
        <v>46300</v>
      </c>
      <c r="T16" s="8" t="n">
        <v>46307</v>
      </c>
      <c r="U16" s="8" t="n">
        <v>46314</v>
      </c>
      <c r="V16" s="8" t="n">
        <v>46321</v>
      </c>
      <c r="W16" s="8" t="n">
        <v>46328</v>
      </c>
      <c r="X16" s="8" t="n">
        <v>46335</v>
      </c>
    </row>
    <row r="17" customFormat="false" ht="19.5" hidden="false" customHeight="true" outlineLevel="0" collapsed="false">
      <c r="A17" s="9" t="s">
        <v>5</v>
      </c>
      <c r="B17" s="10" t="s">
        <v>21</v>
      </c>
      <c r="C17" s="9" t="s">
        <v>22</v>
      </c>
      <c r="D17" s="11" t="n">
        <v>46252</v>
      </c>
      <c r="E17" s="11" t="n">
        <v>46282</v>
      </c>
      <c r="F17" s="12" t="n">
        <v>0.75</v>
      </c>
      <c r="G17" s="9" t="s">
        <v>23</v>
      </c>
      <c r="H17" s="13" t="str">
        <f aca="true">IF(OR(D17="",E17="",F17=""),"",IF(F17&gt;=1,"Green",IF(TODAY()&gt;E17,"Red",IF(TODAY()&lt;D17,"Not Started",IF((TODAY()-D17)/(E17-D17)-F17&lt;=0.05,"Green",IF((TODAY()-D17)/(E17-D17)-F17&lt;=0.2,"Amber","Red"))))))</f>
        <v>Green</v>
      </c>
    </row>
    <row r="18" customFormat="false" ht="19.5" hidden="false" customHeight="true" outlineLevel="0" collapsed="false">
      <c r="A18" s="14" t="s">
        <v>5</v>
      </c>
      <c r="B18" s="15"/>
      <c r="C18" s="14"/>
      <c r="D18" s="16"/>
      <c r="E18" s="16"/>
      <c r="F18" s="17"/>
      <c r="G18" s="14"/>
      <c r="H18" s="18" t="str">
        <f aca="true">IF(OR(D18="",E18="",F18=""),"",IF(F18&gt;=1,"Green",IF(TODAY()&gt;E18,"Red",IF(TODAY()&lt;D18,"Not Started",IF((TODAY()-D18)/(E18-D18)-F18&lt;=0.05,"Green",IF((TODAY()-D18)/(E18-D18)-F18&lt;=0.2,"Amber","Red"))))))</f>
        <v/>
      </c>
    </row>
    <row r="19" customFormat="false" ht="19.5" hidden="false" customHeight="true" outlineLevel="0" collapsed="false">
      <c r="A19" s="14" t="s">
        <v>5</v>
      </c>
      <c r="B19" s="15"/>
      <c r="C19" s="14"/>
      <c r="D19" s="16"/>
      <c r="E19" s="16"/>
      <c r="F19" s="17"/>
      <c r="G19" s="14"/>
      <c r="H19" s="18" t="str">
        <f aca="true">IF(OR(D19="",E19="",F19=""),"",IF(F19&gt;=1,"Green",IF(TODAY()&gt;E19,"Red",IF(TODAY()&lt;D19,"Not Started",IF((TODAY()-D19)/(E19-D19)-F19&lt;=0.05,"Green",IF((TODAY()-D19)/(E19-D19)-F19&lt;=0.2,"Amber","Red"))))))</f>
        <v/>
      </c>
    </row>
    <row r="20" customFormat="false" ht="19.5" hidden="false" customHeight="true" outlineLevel="0" collapsed="false">
      <c r="A20" s="9" t="s">
        <v>6</v>
      </c>
      <c r="B20" s="10" t="s">
        <v>24</v>
      </c>
      <c r="C20" s="9" t="s">
        <v>25</v>
      </c>
      <c r="D20" s="11" t="n">
        <v>46232</v>
      </c>
      <c r="E20" s="11" t="n">
        <v>46252</v>
      </c>
      <c r="F20" s="12" t="n">
        <v>1</v>
      </c>
      <c r="G20" s="9" t="s">
        <v>23</v>
      </c>
      <c r="H20" s="13" t="str">
        <f aca="true">IF(OR(D20="",E20="",F20=""),"",IF(F20&gt;=1,"Green",IF(TODAY()&gt;E20,"Red",IF(TODAY()&lt;D20,"Not Started",IF((TODAY()-D20)/(E20-D20)-F20&lt;=0.05,"Green",IF((TODAY()-D20)/(E20-D20)-F20&lt;=0.2,"Amber","Red"))))))</f>
        <v>Green</v>
      </c>
    </row>
    <row r="21" customFormat="false" ht="19.5" hidden="false" customHeight="true" outlineLevel="0" collapsed="false">
      <c r="A21" s="14" t="s">
        <v>6</v>
      </c>
      <c r="B21" s="15"/>
      <c r="C21" s="14"/>
      <c r="D21" s="16"/>
      <c r="E21" s="16"/>
      <c r="F21" s="17"/>
      <c r="G21" s="14"/>
      <c r="H21" s="18" t="str">
        <f aca="true">IF(OR(D21="",E21="",F21=""),"",IF(F21&gt;=1,"Green",IF(TODAY()&gt;E21,"Red",IF(TODAY()&lt;D21,"Not Started",IF((TODAY()-D21)/(E21-D21)-F21&lt;=0.05,"Green",IF((TODAY()-D21)/(E21-D21)-F21&lt;=0.2,"Amber","Red"))))))</f>
        <v/>
      </c>
    </row>
    <row r="22" customFormat="false" ht="19.5" hidden="false" customHeight="true" outlineLevel="0" collapsed="false">
      <c r="A22" s="14" t="s">
        <v>6</v>
      </c>
      <c r="B22" s="15"/>
      <c r="C22" s="14"/>
      <c r="D22" s="16"/>
      <c r="E22" s="16"/>
      <c r="F22" s="17"/>
      <c r="G22" s="14"/>
      <c r="H22" s="18" t="str">
        <f aca="true">IF(OR(D22="",E22="",F22=""),"",IF(F22&gt;=1,"Green",IF(TODAY()&gt;E22,"Red",IF(TODAY()&lt;D22,"Not Started",IF((TODAY()-D22)/(E22-D22)-F22&lt;=0.05,"Green",IF((TODAY()-D22)/(E22-D22)-F22&lt;=0.2,"Amber","Red"))))))</f>
        <v/>
      </c>
    </row>
    <row r="23" customFormat="false" ht="19.5" hidden="false" customHeight="true" outlineLevel="0" collapsed="false">
      <c r="A23" s="9" t="s">
        <v>7</v>
      </c>
      <c r="B23" s="10" t="s">
        <v>26</v>
      </c>
      <c r="C23" s="9" t="s">
        <v>27</v>
      </c>
      <c r="D23" s="11" t="n">
        <v>46282</v>
      </c>
      <c r="E23" s="11" t="n">
        <v>46302</v>
      </c>
      <c r="F23" s="12" t="n">
        <v>0</v>
      </c>
      <c r="G23" s="9" t="s">
        <v>28</v>
      </c>
      <c r="H23" s="13" t="str">
        <f aca="true">IF(OR(D23="",E23="",F23=""),"",IF(F23&gt;=1,"Green",IF(TODAY()&gt;E23,"Red",IF(TODAY()&lt;D23,"Not Started",IF((TODAY()-D23)/(E23-D23)-F23&lt;=0.05,"Green",IF((TODAY()-D23)/(E23-D23)-F23&lt;=0.2,"Amber","Red"))))))</f>
        <v>Not Started</v>
      </c>
    </row>
    <row r="24" customFormat="false" ht="19.5" hidden="false" customHeight="true" outlineLevel="0" collapsed="false">
      <c r="A24" s="14" t="s">
        <v>7</v>
      </c>
      <c r="B24" s="15"/>
      <c r="C24" s="14"/>
      <c r="D24" s="16"/>
      <c r="E24" s="16"/>
      <c r="F24" s="17"/>
      <c r="G24" s="14"/>
      <c r="H24" s="18" t="str">
        <f aca="true">IF(OR(D24="",E24="",F24=""),"",IF(F24&gt;=1,"Green",IF(TODAY()&gt;E24,"Red",IF(TODAY()&lt;D24,"Not Started",IF((TODAY()-D24)/(E24-D24)-F24&lt;=0.05,"Green",IF((TODAY()-D24)/(E24-D24)-F24&lt;=0.2,"Amber","Red"))))))</f>
        <v/>
      </c>
    </row>
    <row r="25" customFormat="false" ht="19.5" hidden="false" customHeight="true" outlineLevel="0" collapsed="false">
      <c r="A25" s="14" t="s">
        <v>7</v>
      </c>
      <c r="B25" s="15"/>
      <c r="C25" s="14"/>
      <c r="D25" s="16"/>
      <c r="E25" s="16"/>
      <c r="F25" s="17"/>
      <c r="G25" s="14"/>
      <c r="H25" s="18" t="str">
        <f aca="true">IF(OR(D25="",E25="",F25=""),"",IF(F25&gt;=1,"Green",IF(TODAY()&gt;E25,"Red",IF(TODAY()&lt;D25,"Not Started",IF((TODAY()-D25)/(E25-D25)-F25&lt;=0.05,"Green",IF((TODAY()-D25)/(E25-D25)-F25&lt;=0.2,"Amber","Red"))))))</f>
        <v/>
      </c>
    </row>
    <row r="26" customFormat="false" ht="19.5" hidden="false" customHeight="true" outlineLevel="0" collapsed="false">
      <c r="A26" s="9" t="s">
        <v>8</v>
      </c>
      <c r="B26" s="10" t="s">
        <v>29</v>
      </c>
      <c r="C26" s="9" t="s">
        <v>30</v>
      </c>
      <c r="D26" s="11" t="n">
        <v>46257</v>
      </c>
      <c r="E26" s="11" t="n">
        <v>46287</v>
      </c>
      <c r="F26" s="12" t="n">
        <v>0.35</v>
      </c>
      <c r="G26" s="9" t="s">
        <v>28</v>
      </c>
      <c r="H26" s="13" t="str">
        <f aca="true">IF(OR(D26="",E26="",F26=""),"",IF(F26&gt;=1,"Green",IF(TODAY()&gt;E26,"Red",IF(TODAY()&lt;D26,"Not Started",IF((TODAY()-D26)/(E26-D26)-F26&lt;=0.05,"Green",IF((TODAY()-D26)/(E26-D26)-F26&lt;=0.2,"Amber","Red"))))))</f>
        <v>Amber</v>
      </c>
    </row>
    <row r="27" customFormat="false" ht="19.5" hidden="false" customHeight="true" outlineLevel="0" collapsed="false">
      <c r="A27" s="14" t="s">
        <v>8</v>
      </c>
      <c r="B27" s="15"/>
      <c r="C27" s="14"/>
      <c r="D27" s="16"/>
      <c r="E27" s="16"/>
      <c r="F27" s="17"/>
      <c r="G27" s="14"/>
      <c r="H27" s="18" t="str">
        <f aca="true">IF(OR(D27="",E27="",F27=""),"",IF(F27&gt;=1,"Green",IF(TODAY()&gt;E27,"Red",IF(TODAY()&lt;D27,"Not Started",IF((TODAY()-D27)/(E27-D27)-F27&lt;=0.05,"Green",IF((TODAY()-D27)/(E27-D27)-F27&lt;=0.2,"Amber","Red"))))))</f>
        <v/>
      </c>
    </row>
    <row r="28" customFormat="false" ht="19.5" hidden="false" customHeight="true" outlineLevel="0" collapsed="false">
      <c r="A28" s="14" t="s">
        <v>8</v>
      </c>
      <c r="B28" s="15"/>
      <c r="C28" s="14"/>
      <c r="D28" s="16"/>
      <c r="E28" s="16"/>
      <c r="F28" s="17"/>
      <c r="G28" s="14"/>
      <c r="H28" s="18" t="str">
        <f aca="true">IF(OR(D28="",E28="",F28=""),"",IF(F28&gt;=1,"Green",IF(TODAY()&gt;E28,"Red",IF(TODAY()&lt;D28,"Not Started",IF((TODAY()-D28)/(E28-D28)-F28&lt;=0.05,"Green",IF((TODAY()-D28)/(E28-D28)-F28&lt;=0.2,"Amber","Red"))))))</f>
        <v/>
      </c>
    </row>
    <row r="29" customFormat="false" ht="19.5" hidden="false" customHeight="true" outlineLevel="0" collapsed="false">
      <c r="A29" s="9" t="s">
        <v>9</v>
      </c>
      <c r="B29" s="10" t="s">
        <v>31</v>
      </c>
      <c r="C29" s="9" t="s">
        <v>22</v>
      </c>
      <c r="D29" s="11" t="n">
        <v>46252</v>
      </c>
      <c r="E29" s="11" t="n">
        <v>46277</v>
      </c>
      <c r="F29" s="12" t="n">
        <v>0.3</v>
      </c>
      <c r="G29" s="9" t="s">
        <v>23</v>
      </c>
      <c r="H29" s="13" t="str">
        <f aca="true">IF(OR(D29="",E29="",F29=""),"",IF(F29&gt;=1,"Green",IF(TODAY()&gt;E29,"Red",IF(TODAY()&lt;D29,"Not Started",IF((TODAY()-D29)/(E29-D29)-F29&lt;=0.05,"Green",IF((TODAY()-D29)/(E29-D29)-F29&lt;=0.2,"Amber","Red"))))))</f>
        <v>Red</v>
      </c>
    </row>
    <row r="30" customFormat="false" ht="19.5" hidden="false" customHeight="true" outlineLevel="0" collapsed="false">
      <c r="A30" s="14" t="s">
        <v>9</v>
      </c>
      <c r="B30" s="15"/>
      <c r="C30" s="14"/>
      <c r="D30" s="16"/>
      <c r="E30" s="16"/>
      <c r="F30" s="17"/>
      <c r="G30" s="14"/>
      <c r="H30" s="18" t="str">
        <f aca="true">IF(OR(D30="",E30="",F30=""),"",IF(F30&gt;=1,"Green",IF(TODAY()&gt;E30,"Red",IF(TODAY()&lt;D30,"Not Started",IF((TODAY()-D30)/(E30-D30)-F30&lt;=0.05,"Green",IF((TODAY()-D30)/(E30-D30)-F30&lt;=0.2,"Amber","Red"))))))</f>
        <v/>
      </c>
    </row>
    <row r="31" customFormat="false" ht="19.5" hidden="false" customHeight="true" outlineLevel="0" collapsed="false">
      <c r="A31" s="14" t="s">
        <v>9</v>
      </c>
      <c r="B31" s="15"/>
      <c r="C31" s="14"/>
      <c r="D31" s="16"/>
      <c r="E31" s="16"/>
      <c r="F31" s="17"/>
      <c r="G31" s="14"/>
      <c r="H31" s="18" t="str">
        <f aca="true">IF(OR(D31="",E31="",F31=""),"",IF(F31&gt;=1,"Green",IF(TODAY()&gt;E31,"Red",IF(TODAY()&lt;D31,"Not Started",IF((TODAY()-D31)/(E31-D31)-F31&lt;=0.05,"Green",IF((TODAY()-D31)/(E31-D31)-F31&lt;=0.2,"Amber","Red"))))))</f>
        <v/>
      </c>
    </row>
    <row r="32" customFormat="false" ht="19.5" hidden="false" customHeight="true" outlineLevel="0" collapsed="false">
      <c r="A32" s="9" t="s">
        <v>10</v>
      </c>
      <c r="B32" s="10" t="s">
        <v>32</v>
      </c>
      <c r="C32" s="9" t="s">
        <v>25</v>
      </c>
      <c r="D32" s="11" t="n">
        <v>46242</v>
      </c>
      <c r="E32" s="11" t="n">
        <v>46267</v>
      </c>
      <c r="F32" s="12" t="n">
        <v>0.6</v>
      </c>
      <c r="G32" s="9" t="s">
        <v>28</v>
      </c>
      <c r="H32" s="13" t="str">
        <f aca="true">IF(OR(D32="",E32="",F32=""),"",IF(F32&gt;=1,"Green",IF(TODAY()&gt;E32,"Red",IF(TODAY()&lt;D32,"Not Started",IF((TODAY()-D32)/(E32-D32)-F32&lt;=0.05,"Green",IF((TODAY()-D32)/(E32-D32)-F32&lt;=0.2,"Amber","Red"))))))</f>
        <v>Red</v>
      </c>
    </row>
    <row r="33" customFormat="false" ht="19.5" hidden="false" customHeight="true" outlineLevel="0" collapsed="false">
      <c r="A33" s="14" t="s">
        <v>10</v>
      </c>
      <c r="B33" s="15"/>
      <c r="C33" s="14"/>
      <c r="D33" s="16"/>
      <c r="E33" s="16"/>
      <c r="F33" s="17"/>
      <c r="G33" s="14"/>
      <c r="H33" s="18" t="str">
        <f aca="true">IF(OR(D33="",E33="",F33=""),"",IF(F33&gt;=1,"Green",IF(TODAY()&gt;E33,"Red",IF(TODAY()&lt;D33,"Not Started",IF((TODAY()-D33)/(E33-D33)-F33&lt;=0.05,"Green",IF((TODAY()-D33)/(E33-D33)-F33&lt;=0.2,"Amber","Red"))))))</f>
        <v/>
      </c>
    </row>
    <row r="34" customFormat="false" ht="19.5" hidden="false" customHeight="true" outlineLevel="0" collapsed="false">
      <c r="A34" s="14" t="s">
        <v>10</v>
      </c>
      <c r="B34" s="15"/>
      <c r="C34" s="14"/>
      <c r="D34" s="16"/>
      <c r="E34" s="16"/>
      <c r="F34" s="17"/>
      <c r="G34" s="14"/>
      <c r="H34" s="18" t="str">
        <f aca="true">IF(OR(D34="",E34="",F34=""),"",IF(F34&gt;=1,"Green",IF(TODAY()&gt;E34,"Red",IF(TODAY()&lt;D34,"Not Started",IF((TODAY()-D34)/(E34-D34)-F34&lt;=0.05,"Green",IF((TODAY()-D34)/(E34-D34)-F34&lt;=0.2,"Amber","Red"))))))</f>
        <v/>
      </c>
    </row>
    <row r="35" customFormat="false" ht="19.5" hidden="false" customHeight="true" outlineLevel="0" collapsed="false">
      <c r="A35" s="9" t="s">
        <v>11</v>
      </c>
      <c r="B35" s="10" t="s">
        <v>33</v>
      </c>
      <c r="C35" s="9" t="s">
        <v>27</v>
      </c>
      <c r="D35" s="11" t="n">
        <v>46262</v>
      </c>
      <c r="E35" s="11" t="n">
        <v>46292</v>
      </c>
      <c r="F35" s="12" t="n">
        <v>0.4</v>
      </c>
      <c r="G35" s="9" t="s">
        <v>23</v>
      </c>
      <c r="H35" s="13" t="str">
        <f aca="true">IF(OR(D35="",E35="",F35=""),"",IF(F35&gt;=1,"Green",IF(TODAY()&gt;E35,"Red",IF(TODAY()&lt;D35,"Not Started",IF((TODAY()-D35)/(E35-D35)-F35&lt;=0.05,"Green",IF((TODAY()-D35)/(E35-D35)-F35&lt;=0.2,"Amber","Red"))))))</f>
        <v>Green</v>
      </c>
    </row>
    <row r="36" customFormat="false" ht="19.5" hidden="false" customHeight="true" outlineLevel="0" collapsed="false">
      <c r="A36" s="14" t="s">
        <v>11</v>
      </c>
      <c r="B36" s="15"/>
      <c r="C36" s="14"/>
      <c r="D36" s="16"/>
      <c r="E36" s="16"/>
      <c r="F36" s="17"/>
      <c r="G36" s="14"/>
      <c r="H36" s="18" t="str">
        <f aca="true">IF(OR(D36="",E36="",F36=""),"",IF(F36&gt;=1,"Green",IF(TODAY()&gt;E36,"Red",IF(TODAY()&lt;D36,"Not Started",IF((TODAY()-D36)/(E36-D36)-F36&lt;=0.05,"Green",IF((TODAY()-D36)/(E36-D36)-F36&lt;=0.2,"Amber","Red"))))))</f>
        <v/>
      </c>
    </row>
    <row r="37" customFormat="false" ht="19.5" hidden="false" customHeight="true" outlineLevel="0" collapsed="false">
      <c r="A37" s="14" t="s">
        <v>11</v>
      </c>
      <c r="B37" s="15"/>
      <c r="C37" s="14"/>
      <c r="D37" s="16"/>
      <c r="E37" s="16"/>
      <c r="F37" s="17"/>
      <c r="G37" s="14"/>
      <c r="H37" s="18" t="str">
        <f aca="true">IF(OR(D37="",E37="",F37=""),"",IF(F37&gt;=1,"Green",IF(TODAY()&gt;E37,"Red",IF(TODAY()&lt;D37,"Not Started",IF((TODAY()-D37)/(E37-D37)-F37&lt;=0.05,"Green",IF((TODAY()-D37)/(E37-D37)-F37&lt;=0.2,"Amber","Red"))))))</f>
        <v/>
      </c>
    </row>
    <row r="38" customFormat="false" ht="19.5" hidden="false" customHeight="true" outlineLevel="0" collapsed="false">
      <c r="A38" s="9" t="s">
        <v>12</v>
      </c>
      <c r="B38" s="10" t="s">
        <v>34</v>
      </c>
      <c r="C38" s="9" t="s">
        <v>30</v>
      </c>
      <c r="D38" s="11" t="n">
        <v>46247</v>
      </c>
      <c r="E38" s="11" t="n">
        <v>46277</v>
      </c>
      <c r="F38" s="12" t="n">
        <v>0.7</v>
      </c>
      <c r="G38" s="9" t="s">
        <v>28</v>
      </c>
      <c r="H38" s="13" t="str">
        <f aca="true">IF(OR(D38="",E38="",F38=""),"",IF(F38&gt;=1,"Green",IF(TODAY()&gt;E38,"Red",IF(TODAY()&lt;D38,"Not Started",IF((TODAY()-D38)/(E38-D38)-F38&lt;=0.05,"Green",IF((TODAY()-D38)/(E38-D38)-F38&lt;=0.2,"Amber","Red"))))))</f>
        <v>Amber</v>
      </c>
    </row>
    <row r="39" customFormat="false" ht="19.5" hidden="false" customHeight="true" outlineLevel="0" collapsed="false">
      <c r="A39" s="14" t="s">
        <v>12</v>
      </c>
      <c r="B39" s="15"/>
      <c r="C39" s="14"/>
      <c r="D39" s="16"/>
      <c r="E39" s="16"/>
      <c r="F39" s="17"/>
      <c r="G39" s="14"/>
      <c r="H39" s="18" t="str">
        <f aca="true">IF(OR(D39="",E39="",F39=""),"",IF(F39&gt;=1,"Green",IF(TODAY()&gt;E39,"Red",IF(TODAY()&lt;D39,"Not Started",IF((TODAY()-D39)/(E39-D39)-F39&lt;=0.05,"Green",IF((TODAY()-D39)/(E39-D39)-F39&lt;=0.2,"Amber","Red"))))))</f>
        <v/>
      </c>
    </row>
    <row r="40" customFormat="false" ht="19.5" hidden="false" customHeight="true" outlineLevel="0" collapsed="false">
      <c r="A40" s="14" t="s">
        <v>12</v>
      </c>
      <c r="B40" s="15"/>
      <c r="C40" s="14"/>
      <c r="D40" s="16"/>
      <c r="E40" s="16"/>
      <c r="F40" s="17"/>
      <c r="G40" s="14"/>
      <c r="H40" s="18" t="str">
        <f aca="true">IF(OR(D40="",E40="",F40=""),"",IF(F40&gt;=1,"Green",IF(TODAY()&gt;E40,"Red",IF(TODAY()&lt;D40,"Not Started",IF((TODAY()-D40)/(E40-D40)-F40&lt;=0.05,"Green",IF((TODAY()-D40)/(E40-D40)-F40&lt;=0.2,"Amber","Red"))))))</f>
        <v/>
      </c>
    </row>
    <row r="43" customFormat="false" ht="15" hidden="false" customHeight="false" outlineLevel="0" collapsed="false">
      <c r="A43" s="19" t="s">
        <v>35</v>
      </c>
    </row>
    <row r="44" customFormat="false" ht="15" hidden="false" customHeight="false" outlineLevel="0" collapsed="false">
      <c r="A44" s="20"/>
      <c r="B44" s="21" t="s">
        <v>36</v>
      </c>
    </row>
    <row r="45" customFormat="false" ht="15" hidden="false" customHeight="false" outlineLevel="0" collapsed="false">
      <c r="A45" s="22"/>
      <c r="B45" s="21" t="s">
        <v>37</v>
      </c>
    </row>
    <row r="46" customFormat="false" ht="15" hidden="false" customHeight="false" outlineLevel="0" collapsed="false">
      <c r="A46" s="23"/>
      <c r="B46" s="21" t="s">
        <v>38</v>
      </c>
    </row>
    <row r="47" customFormat="false" ht="15" hidden="false" customHeight="false" outlineLevel="0" collapsed="false">
      <c r="A47" s="24"/>
      <c r="B47" s="21" t="s">
        <v>39</v>
      </c>
    </row>
    <row r="49" customFormat="false" ht="19.4" hidden="false" customHeight="true" outlineLevel="0" collapsed="false">
      <c r="A49" s="25" t="s">
        <v>40</v>
      </c>
      <c r="B49" s="25"/>
      <c r="C49" s="25"/>
      <c r="D49" s="25"/>
      <c r="E49" s="25"/>
      <c r="F49" s="25"/>
      <c r="G49" s="25"/>
      <c r="H49" s="25"/>
    </row>
  </sheetData>
  <mergeCells count="5">
    <mergeCell ref="A1:X1"/>
    <mergeCell ref="A2:X2"/>
    <mergeCell ref="A4:X4"/>
    <mergeCell ref="A15:X15"/>
    <mergeCell ref="A49:H49"/>
  </mergeCells>
  <conditionalFormatting sqref="I17:X40">
    <cfRule type="expression" priority="2" aboveAverage="0" equalAverage="0" bottom="0" percent="0" rank="0" text="" dxfId="0">
      <formula>AND($D17&lt;&gt;"",$E17&lt;&gt;"",I$16&lt;=$E17,I$16+6&gt;=$D17,$G17&lt;&gt;"Yes")</formula>
    </cfRule>
    <cfRule type="expression" priority="3" aboveAverage="0" equalAverage="0" bottom="0" percent="0" rank="0" text="" dxfId="1">
      <formula>AND($D17&lt;&gt;"",$E17&lt;&gt;"",I$16&lt;=$E17,I$16+6&gt;=$D17,$G17="Yes")</formula>
    </cfRule>
  </conditionalFormatting>
  <conditionalFormatting sqref="H17:H40">
    <cfRule type="cellIs" priority="4" operator="equal" aboveAverage="0" equalAverage="0" bottom="0" percent="0" rank="0" text="" dxfId="2">
      <formula>"Red"</formula>
    </cfRule>
    <cfRule type="cellIs" priority="5" operator="equal" aboveAverage="0" equalAverage="0" bottom="0" percent="0" rank="0" text="" dxfId="3">
      <formula>"Amber"</formula>
    </cfRule>
    <cfRule type="cellIs" priority="6" operator="equal" aboveAverage="0" equalAverage="0" bottom="0" percent="0" rank="0" text="" dxfId="4">
      <formula>"Green"</formula>
    </cfRule>
    <cfRule type="cellIs" priority="7" operator="equal" aboveAverage="0" equalAverage="0" bottom="0" percent="0" rank="0" text="" dxfId="5">
      <formula>"Not Started"</formula>
    </cfRule>
  </conditionalFormatting>
  <conditionalFormatting sqref="G17:G40">
    <cfRule type="cellIs" priority="8" operator="equal" aboveAverage="0" equalAverage="0" bottom="0" percent="0" rank="0" text="" dxfId="2">
      <formula>"Yes"</formula>
    </cfRule>
  </conditionalFormatting>
  <conditionalFormatting sqref="B6:B13">
    <cfRule type="cellIs" priority="9" operator="equal" aboveAverage="0" equalAverage="0" bottom="0" percent="0" rank="0" text="" dxfId="2">
      <formula>"Red"</formula>
    </cfRule>
    <cfRule type="cellIs" priority="10" operator="equal" aboveAverage="0" equalAverage="0" bottom="0" percent="0" rank="0" text="" dxfId="3">
      <formula>"Amber"</formula>
    </cfRule>
    <cfRule type="cellIs" priority="11" operator="equal" aboveAverage="0" equalAverage="0" bottom="0" percent="0" rank="0" text="" dxfId="4">
      <formula>"Green"</formula>
    </cfRule>
    <cfRule type="cellIs" priority="12" operator="equal" aboveAverage="0" equalAverage="0" bottom="0" percent="0" rank="0" text="" dxfId="5">
      <formula>"Not Started"</formula>
    </cfRule>
  </conditionalFormatting>
  <dataValidations count="1">
    <dataValidation allowBlank="true" error="Choose Yes or No." errorStyle="stop" errorTitle="Invalid value" operator="between" showDropDown="false" showErrorMessage="false" showInputMessage="false" sqref="G17:G4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10" min="3" style="0" width="10"/>
    <col collapsed="false" customWidth="true" hidden="false" outlineLevel="0" max="11" min="11" style="0" width="13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3.75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43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33.75" hidden="false" customHeight="true" outlineLevel="0" collapsed="false">
      <c r="A5" s="7" t="s">
        <v>44</v>
      </c>
      <c r="B5" s="7" t="s">
        <v>45</v>
      </c>
      <c r="C5" s="26" t="s">
        <v>5</v>
      </c>
      <c r="D5" s="26" t="s">
        <v>6</v>
      </c>
      <c r="E5" s="26" t="s">
        <v>7</v>
      </c>
      <c r="F5" s="26" t="s">
        <v>8</v>
      </c>
      <c r="G5" s="26" t="s">
        <v>9</v>
      </c>
      <c r="H5" s="26" t="s">
        <v>10</v>
      </c>
      <c r="I5" s="26" t="s">
        <v>11</v>
      </c>
      <c r="J5" s="26" t="s">
        <v>12</v>
      </c>
      <c r="K5" s="7" t="s">
        <v>46</v>
      </c>
      <c r="L5" s="7" t="s">
        <v>47</v>
      </c>
    </row>
    <row r="6" customFormat="false" ht="21.75" hidden="false" customHeight="true" outlineLevel="0" collapsed="false">
      <c r="A6" s="27" t="s">
        <v>22</v>
      </c>
      <c r="B6" s="12" t="n">
        <v>1</v>
      </c>
      <c r="C6" s="12" t="n">
        <v>0.3</v>
      </c>
      <c r="D6" s="12" t="n">
        <v>0</v>
      </c>
      <c r="E6" s="12" t="n">
        <v>0.2</v>
      </c>
      <c r="F6" s="12" t="n">
        <v>0</v>
      </c>
      <c r="G6" s="12" t="n">
        <v>0.3</v>
      </c>
      <c r="H6" s="12" t="n">
        <v>0</v>
      </c>
      <c r="I6" s="12" t="n">
        <v>0.2</v>
      </c>
      <c r="J6" s="12" t="n">
        <v>0</v>
      </c>
      <c r="K6" s="28" t="n">
        <f aca="false">IF(COUNT(C6:J6)=0,"",SUM(C6:J6))</f>
        <v>1</v>
      </c>
      <c r="L6" s="28" t="n">
        <f aca="false">IF(OR(B6="",K6=""),"",K6/B6)</f>
        <v>1</v>
      </c>
    </row>
    <row r="7" customFormat="false" ht="21.75" hidden="false" customHeight="true" outlineLevel="0" collapsed="false">
      <c r="A7" s="27" t="s">
        <v>25</v>
      </c>
      <c r="B7" s="12" t="n">
        <v>1</v>
      </c>
      <c r="C7" s="12" t="n">
        <v>0</v>
      </c>
      <c r="D7" s="12" t="n">
        <v>0.4</v>
      </c>
      <c r="E7" s="12" t="n">
        <v>0</v>
      </c>
      <c r="F7" s="12" t="n">
        <v>0</v>
      </c>
      <c r="G7" s="12" t="n">
        <v>0</v>
      </c>
      <c r="H7" s="12" t="n">
        <v>0.3</v>
      </c>
      <c r="I7" s="12" t="n">
        <v>0</v>
      </c>
      <c r="J7" s="12" t="n">
        <v>0</v>
      </c>
      <c r="K7" s="28" t="n">
        <f aca="false">IF(COUNT(C7:J7)=0,"",SUM(C7:J7))</f>
        <v>0.7</v>
      </c>
      <c r="L7" s="28" t="n">
        <f aca="false">IF(OR(B7="",K7=""),"",K7/B7)</f>
        <v>0.7</v>
      </c>
    </row>
    <row r="8" customFormat="false" ht="21.75" hidden="false" customHeight="true" outlineLevel="0" collapsed="false">
      <c r="A8" s="27" t="s">
        <v>27</v>
      </c>
      <c r="B8" s="12" t="n">
        <v>0.8</v>
      </c>
      <c r="C8" s="12" t="n">
        <v>0</v>
      </c>
      <c r="D8" s="12" t="n">
        <v>0</v>
      </c>
      <c r="E8" s="12" t="n">
        <v>0.5</v>
      </c>
      <c r="F8" s="12" t="n">
        <v>0</v>
      </c>
      <c r="G8" s="12" t="n">
        <v>0</v>
      </c>
      <c r="H8" s="12" t="n">
        <v>0</v>
      </c>
      <c r="I8" s="12" t="n">
        <v>0.4</v>
      </c>
      <c r="J8" s="12" t="n">
        <v>0</v>
      </c>
      <c r="K8" s="28" t="n">
        <f aca="false">IF(COUNT(C8:J8)=0,"",SUM(C8:J8))</f>
        <v>0.9</v>
      </c>
      <c r="L8" s="28" t="n">
        <f aca="false">IF(OR(B8="",K8=""),"",K8/B8)</f>
        <v>1.125</v>
      </c>
    </row>
    <row r="9" customFormat="false" ht="21.75" hidden="false" customHeight="true" outlineLevel="0" collapsed="false">
      <c r="A9" s="27" t="s">
        <v>30</v>
      </c>
      <c r="B9" s="12" t="n">
        <v>1</v>
      </c>
      <c r="C9" s="12" t="n">
        <v>0</v>
      </c>
      <c r="D9" s="12" t="n">
        <v>0</v>
      </c>
      <c r="E9" s="12" t="n">
        <v>0</v>
      </c>
      <c r="F9" s="12" t="n">
        <v>0.5</v>
      </c>
      <c r="G9" s="12" t="n">
        <v>0</v>
      </c>
      <c r="H9" s="12" t="n">
        <v>0</v>
      </c>
      <c r="I9" s="12" t="n">
        <v>0</v>
      </c>
      <c r="J9" s="12" t="n">
        <v>0.4</v>
      </c>
      <c r="K9" s="28" t="n">
        <f aca="false">IF(COUNT(C9:J9)=0,"",SUM(C9:J9))</f>
        <v>0.9</v>
      </c>
      <c r="L9" s="28" t="n">
        <f aca="false">IF(OR(B9="",K9=""),"",K9/B9)</f>
        <v>0.9</v>
      </c>
    </row>
    <row r="10" customFormat="false" ht="21.75" hidden="false" customHeight="true" outlineLevel="0" collapsed="false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1" t="str">
        <f aca="false">IF(COUNT(C10:J10)=0,"",SUM(C10:J10))</f>
        <v/>
      </c>
      <c r="L10" s="31" t="str">
        <f aca="false">IF(OR(B10="",K10=""),"",K10/B10)</f>
        <v/>
      </c>
    </row>
    <row r="11" customFormat="false" ht="21.75" hidden="false" customHeight="true" outlineLevel="0" collapsed="false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1" t="str">
        <f aca="false">IF(COUNT(C11:J11)=0,"",SUM(C11:J11))</f>
        <v/>
      </c>
      <c r="L11" s="31" t="str">
        <f aca="false">IF(OR(B11="",K11=""),"",K11/B11)</f>
        <v/>
      </c>
    </row>
    <row r="12" customFormat="false" ht="21.75" hidden="false" customHeight="true" outlineLevel="0" collapsed="false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1" t="str">
        <f aca="false">IF(COUNT(C12:J12)=0,"",SUM(C12:J12))</f>
        <v/>
      </c>
      <c r="L12" s="31" t="str">
        <f aca="false">IF(OR(B12="",K12=""),"",K12/B12)</f>
        <v/>
      </c>
    </row>
    <row r="13" customFormat="false" ht="21.75" hidden="false" customHeight="true" outlineLevel="0" collapsed="false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1" t="str">
        <f aca="false">IF(COUNT(C13:J13)=0,"",SUM(C13:J13))</f>
        <v/>
      </c>
      <c r="L13" s="31" t="str">
        <f aca="false">IF(OR(B13="",K13=""),"",K13/B13)</f>
        <v/>
      </c>
    </row>
    <row r="14" customFormat="false" ht="21.75" hidden="false" customHeight="true" outlineLevel="0" collapsed="false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1" t="str">
        <f aca="false">IF(COUNT(C14:J14)=0,"",SUM(C14:J14))</f>
        <v/>
      </c>
      <c r="L14" s="31" t="str">
        <f aca="false">IF(OR(B14="",K14=""),"",K14/B14)</f>
        <v/>
      </c>
    </row>
    <row r="15" customFormat="false" ht="21.75" hidden="false" customHeight="true" outlineLevel="0" collapsed="false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1" t="str">
        <f aca="false">IF(COUNT(C15:J15)=0,"",SUM(C15:J15))</f>
        <v/>
      </c>
      <c r="L15" s="31" t="str">
        <f aca="false">IF(OR(B15="",K15=""),"",K15/B15)</f>
        <v/>
      </c>
    </row>
  </sheetData>
  <mergeCells count="3">
    <mergeCell ref="A1:M1"/>
    <mergeCell ref="A2:M2"/>
    <mergeCell ref="A4:M4"/>
  </mergeCells>
  <conditionalFormatting sqref="L6:L15">
    <cfRule type="cellIs" priority="2" operator="greaterThan" aboveAverage="0" equalAverage="0" bottom="0" percent="0" rank="0" text="" dxfId="2">
      <formula>1</formula>
    </cfRule>
    <cfRule type="expression" priority="3" aboveAverage="0" equalAverage="0" bottom="0" percent="0" rank="0" text="" dxfId="3">
      <formula>AND(ISNUMBER(L6),L6&lt;0.8,L6&gt;0)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24"/>
  </cols>
  <sheetData>
    <row r="1" customFormat="false" ht="30" hidden="false" customHeight="true" outlineLevel="0" collapsed="false">
      <c r="A1" s="1" t="s">
        <v>48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49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</row>
    <row r="5" customFormat="false" ht="25.5" hidden="false" customHeight="true" outlineLevel="0" collapsed="false">
      <c r="A5" s="7" t="s">
        <v>51</v>
      </c>
      <c r="B5" s="7" t="s">
        <v>52</v>
      </c>
      <c r="C5" s="7" t="s">
        <v>53</v>
      </c>
      <c r="D5" s="7" t="s">
        <v>54</v>
      </c>
      <c r="E5" s="7" t="s">
        <v>55</v>
      </c>
    </row>
    <row r="6" customFormat="false" ht="25.5" hidden="false" customHeight="true" outlineLevel="0" collapsed="false">
      <c r="A6" s="32" t="n">
        <f aca="false">COUNTA(A10:A17)</f>
        <v>8</v>
      </c>
      <c r="B6" s="32" t="n">
        <f aca="false">COUNTIF(E10:E17,"Completed On Time")</f>
        <v>1</v>
      </c>
      <c r="C6" s="32" t="n">
        <f aca="false">COUNTIF(E10:E17,"Completed Late")</f>
        <v>1</v>
      </c>
      <c r="D6" s="32" t="n">
        <f aca="false">COUNTIF(E10:E17,"Delayed")</f>
        <v>2</v>
      </c>
      <c r="E6" s="32" t="n">
        <f aca="false">COUNTIF(E10:E17,"Upcoming")</f>
        <v>4</v>
      </c>
    </row>
    <row r="8" customFormat="false" ht="15" hidden="false" customHeight="false" outlineLevel="0" collapsed="false">
      <c r="A8" s="3" t="s">
        <v>56</v>
      </c>
      <c r="B8" s="3"/>
      <c r="C8" s="3"/>
      <c r="D8" s="3"/>
      <c r="E8" s="3"/>
      <c r="F8" s="3"/>
    </row>
    <row r="9" customFormat="false" ht="27.75" hidden="false" customHeight="true" outlineLevel="0" collapsed="false">
      <c r="A9" s="7" t="s">
        <v>3</v>
      </c>
      <c r="B9" s="7" t="s">
        <v>57</v>
      </c>
      <c r="C9" s="7" t="s">
        <v>58</v>
      </c>
      <c r="D9" s="7" t="s">
        <v>59</v>
      </c>
      <c r="E9" s="7" t="s">
        <v>60</v>
      </c>
      <c r="F9" s="7" t="s">
        <v>61</v>
      </c>
    </row>
    <row r="10" customFormat="false" ht="30" hidden="false" customHeight="true" outlineLevel="0" collapsed="false">
      <c r="A10" s="9" t="s">
        <v>5</v>
      </c>
      <c r="B10" s="10" t="s">
        <v>62</v>
      </c>
      <c r="C10" s="11" t="n">
        <v>46267</v>
      </c>
      <c r="D10" s="11" t="n">
        <v>46266</v>
      </c>
      <c r="E10" s="13" t="str">
        <f aca="true">IF(C10="","",IF(D10&lt;&gt;"",IF(D10&lt;=C10,"Completed On Time","Completed Late"),IF(C10&lt;TODAY(),"Delayed","Upcoming")))</f>
        <v>Completed On Time</v>
      </c>
      <c r="F10" s="10" t="s">
        <v>63</v>
      </c>
    </row>
    <row r="11" customFormat="false" ht="30" hidden="false" customHeight="true" outlineLevel="0" collapsed="false">
      <c r="A11" s="14" t="s">
        <v>6</v>
      </c>
      <c r="B11" s="15" t="s">
        <v>64</v>
      </c>
      <c r="C11" s="16" t="n">
        <v>46252</v>
      </c>
      <c r="D11" s="16" t="n">
        <v>46254</v>
      </c>
      <c r="E11" s="18" t="str">
        <f aca="true">IF(C11="","",IF(D11&lt;&gt;"",IF(D11&lt;=C11,"Completed On Time","Completed Late"),IF(C11&lt;TODAY(),"Delayed","Upcoming")))</f>
        <v>Completed Late</v>
      </c>
      <c r="F11" s="15" t="s">
        <v>65</v>
      </c>
    </row>
    <row r="12" customFormat="false" ht="30" hidden="false" customHeight="true" outlineLevel="0" collapsed="false">
      <c r="A12" s="14" t="s">
        <v>7</v>
      </c>
      <c r="B12" s="15" t="s">
        <v>66</v>
      </c>
      <c r="C12" s="16" t="n">
        <v>46302</v>
      </c>
      <c r="D12" s="16"/>
      <c r="E12" s="18" t="str">
        <f aca="true">IF(C12="","",IF(D12&lt;&gt;"",IF(D12&lt;=C12,"Completed On Time","Completed Late"),IF(C12&lt;TODAY(),"Delayed","Upcoming")))</f>
        <v>Upcoming</v>
      </c>
      <c r="F12" s="15"/>
    </row>
    <row r="13" customFormat="false" ht="30" hidden="false" customHeight="true" outlineLevel="0" collapsed="false">
      <c r="A13" s="14" t="s">
        <v>8</v>
      </c>
      <c r="B13" s="15" t="s">
        <v>67</v>
      </c>
      <c r="C13" s="16" t="n">
        <v>46287</v>
      </c>
      <c r="D13" s="16"/>
      <c r="E13" s="18" t="str">
        <f aca="true">IF(C13="","",IF(D13&lt;&gt;"",IF(D13&lt;=C13,"Completed On Time","Completed Late"),IF(C13&lt;TODAY(),"Delayed","Upcoming")))</f>
        <v>Upcoming</v>
      </c>
      <c r="F13" s="15"/>
    </row>
    <row r="14" customFormat="false" ht="30" hidden="false" customHeight="true" outlineLevel="0" collapsed="false">
      <c r="A14" s="14" t="s">
        <v>9</v>
      </c>
      <c r="B14" s="15" t="s">
        <v>68</v>
      </c>
      <c r="C14" s="16" t="n">
        <v>46269</v>
      </c>
      <c r="D14" s="16"/>
      <c r="E14" s="18" t="str">
        <f aca="true">IF(C14="","",IF(D14&lt;&gt;"",IF(D14&lt;=C14,"Completed On Time","Completed Late"),IF(C14&lt;TODAY(),"Delayed","Upcoming")))</f>
        <v>Delayed</v>
      </c>
      <c r="F14" s="15" t="s">
        <v>69</v>
      </c>
    </row>
    <row r="15" customFormat="false" ht="30" hidden="false" customHeight="true" outlineLevel="0" collapsed="false">
      <c r="A15" s="14" t="s">
        <v>10</v>
      </c>
      <c r="B15" s="15" t="s">
        <v>70</v>
      </c>
      <c r="C15" s="16" t="n">
        <v>46267</v>
      </c>
      <c r="D15" s="16"/>
      <c r="E15" s="18" t="str">
        <f aca="true">IF(C15="","",IF(D15&lt;&gt;"",IF(D15&lt;=C15,"Completed On Time","Completed Late"),IF(C15&lt;TODAY(),"Delayed","Upcoming")))</f>
        <v>Delayed</v>
      </c>
      <c r="F15" s="15" t="s">
        <v>71</v>
      </c>
    </row>
    <row r="16" customFormat="false" ht="30" hidden="false" customHeight="true" outlineLevel="0" collapsed="false">
      <c r="A16" s="14" t="s">
        <v>11</v>
      </c>
      <c r="B16" s="15" t="s">
        <v>72</v>
      </c>
      <c r="C16" s="16" t="n">
        <v>46292</v>
      </c>
      <c r="D16" s="16"/>
      <c r="E16" s="18" t="str">
        <f aca="true">IF(C16="","",IF(D16&lt;&gt;"",IF(D16&lt;=C16,"Completed On Time","Completed Late"),IF(C16&lt;TODAY(),"Delayed","Upcoming")))</f>
        <v>Upcoming</v>
      </c>
      <c r="F16" s="15"/>
    </row>
    <row r="17" customFormat="false" ht="30" hidden="false" customHeight="true" outlineLevel="0" collapsed="false">
      <c r="A17" s="14" t="s">
        <v>12</v>
      </c>
      <c r="B17" s="15" t="s">
        <v>73</v>
      </c>
      <c r="C17" s="16" t="n">
        <v>46277</v>
      </c>
      <c r="D17" s="16"/>
      <c r="E17" s="18" t="str">
        <f aca="true">IF(C17="","",IF(D17&lt;&gt;"",IF(D17&lt;=C17,"Completed On Time","Completed Late"),IF(C17&lt;TODAY(),"Delayed","Upcoming")))</f>
        <v>Upcoming</v>
      </c>
      <c r="F17" s="15"/>
    </row>
    <row r="20" customFormat="false" ht="15" hidden="false" customHeight="false" outlineLevel="0" collapsed="false">
      <c r="A20" s="19" t="s">
        <v>35</v>
      </c>
    </row>
    <row r="21" customFormat="false" ht="15" hidden="false" customHeight="false" outlineLevel="0" collapsed="false">
      <c r="A21" s="20"/>
      <c r="B21" s="21" t="s">
        <v>54</v>
      </c>
    </row>
    <row r="22" customFormat="false" ht="15" hidden="false" customHeight="false" outlineLevel="0" collapsed="false">
      <c r="A22" s="22"/>
      <c r="B22" s="21" t="s">
        <v>53</v>
      </c>
    </row>
    <row r="23" customFormat="false" ht="15" hidden="false" customHeight="false" outlineLevel="0" collapsed="false">
      <c r="A23" s="23"/>
      <c r="B23" s="21" t="s">
        <v>52</v>
      </c>
    </row>
    <row r="24" customFormat="false" ht="15" hidden="false" customHeight="false" outlineLevel="0" collapsed="false">
      <c r="A24" s="33"/>
      <c r="B24" s="21" t="s">
        <v>55</v>
      </c>
    </row>
  </sheetData>
  <mergeCells count="4">
    <mergeCell ref="A1:F1"/>
    <mergeCell ref="A2:F2"/>
    <mergeCell ref="A4:F4"/>
    <mergeCell ref="A8:F8"/>
  </mergeCells>
  <conditionalFormatting sqref="E10:E17">
    <cfRule type="cellIs" priority="2" operator="equal" aboveAverage="0" equalAverage="0" bottom="0" percent="0" rank="0" text="" dxfId="2">
      <formula>"Delayed"</formula>
    </cfRule>
    <cfRule type="cellIs" priority="3" operator="equal" aboveAverage="0" equalAverage="0" bottom="0" percent="0" rank="0" text="" dxfId="3">
      <formula>"Completed Late"</formula>
    </cfRule>
    <cfRule type="cellIs" priority="4" operator="equal" aboveAverage="0" equalAverage="0" bottom="0" percent="0" rank="0" text="" dxfId="4">
      <formula>"Completed On Time"</formula>
    </cfRule>
    <cfRule type="expression" priority="5" aboveAverage="0" equalAverage="0" bottom="0" percent="0" rank="0" text="" dxfId="6">
      <formula>E10="Upcoming"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2026-09-07T14:48:53Z</dcterms:created>
  <dc:creator>openpyxl</dc:creator>
  <dc:description/>
  <dc:language>en-US</dc:language>
  <cp:lastModifiedBy/>
  <dcterms:modified xsi:type="dcterms:W3CDTF">2026-09-07T14:48:53Z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