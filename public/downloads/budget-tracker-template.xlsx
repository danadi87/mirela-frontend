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<sst xmlns="http://schemas.openxmlformats.org/spreadsheetml/2006/main" count="41" uniqueCount="35">
  <si>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Budget Tracker Template</t>
  </si>
  <si>
    <t xml:space="preserve">Fill in the light grey cells. Estimate at Completion, Variance, and Variance % calculate automatically. Replace or delete the example row before entering real data.</t>
  </si>
  <si>
    <t xml:space="preserve">Project Name:</t>
  </si>
  <si>
    <t xml:space="preserve">e.g. Finance System Upgrade</t>
  </si>
  <si>
    <t xml:space="preserve">Budget Owner:</t>
  </si>
  <si>
    <t xml:space="preserve">e.g. M. Nowak</t>
  </si>
  <si>
    <t xml:space="preserve">Reporting Period:</t>
  </si>
  <si>
    <t xml:space="preserve">e.g. January 2025</t>
  </si>
  <si>
    <t xml:space="preserve">Currency:</t>
  </si>
  <si>
    <t xml:space="preserve">e.g. EUR</t>
  </si>
  <si>
    <t xml:space="preserve">Budget Summary</t>
  </si>
  <si>
    <t xml:space="preserve">Approved Budget</t>
  </si>
  <si>
    <t xml:space="preserve">Committed Spend</t>
  </si>
  <si>
    <t xml:space="preserve">Actual Spend</t>
  </si>
  <si>
    <t xml:space="preserve">Estimate at Completion (EAC)</t>
  </si>
  <si>
    <t xml:space="preserve">Variance</t>
  </si>
  <si>
    <t xml:space="preserve">Variance %</t>
  </si>
  <si>
    <t xml:space="preserve">Cost Category Breakdown</t>
  </si>
  <si>
    <t xml:space="preserve">Cost Category</t>
  </si>
  <si>
    <t xml:space="preserve">Forecast to Complete</t>
  </si>
  <si>
    <t xml:space="preserve">Notes</t>
  </si>
  <si>
    <t xml:space="preserve">Example: Software &amp; Licenses</t>
  </si>
  <si>
    <t xml:space="preserve">On track, remaining licenses invoiced quarterly</t>
  </si>
  <si>
    <t xml:space="preserve">Labor</t>
  </si>
  <si>
    <t xml:space="preserve">Materials &amp; Supplies</t>
  </si>
  <si>
    <t xml:space="preserve">Contractors / Consultants</t>
  </si>
  <si>
    <t xml:space="preserve">Travel &amp; Expenses</t>
  </si>
  <si>
    <t xml:space="preserve">Training</t>
  </si>
  <si>
    <t xml:space="preserve">Contingency</t>
  </si>
  <si>
    <t xml:space="preserve">Other</t>
  </si>
  <si>
    <t xml:space="preserve">TOTAL</t>
  </si>
  <si>
    <t xml:space="preserve">Legend</t>
  </si>
  <si>
    <t xml:space="preserve">Under/on budget (Variance ≥ 0)</t>
  </si>
  <si>
    <t xml:space="preserve">Over budget (Variance &lt; 0)</t>
  </si>
  <si>
    <t xml:space="preserve">Definitions — Estimate at Completion (EAC) = Actual Spend + Forecast to Complete. Variance = Approved Budget − EAC. A negative Variance means the category is forecast to exceed its approved budget.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</si>
</sst>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0.0%;\(0.0%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392B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C5E"/>
      <rgbColor rgb="FF1E8449"/>
      <rgbColor rgb="FF003300"/>
      <rgbColor rgb="FF333300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</row>
    <row r="9" customFormat="false" ht="15" hidden="false" customHeight="false" outlineLevel="0" collapsed="false">
      <c r="A9" s="5" t="s">
        <v>10</v>
      </c>
      <c r="B9" s="5"/>
      <c r="C9" s="5"/>
      <c r="D9" s="5"/>
      <c r="E9" s="5"/>
      <c r="F9" s="5"/>
      <c r="G9" s="5"/>
      <c r="H9" s="5"/>
      <c r="I9" s="5"/>
    </row>
    <row r="10" customFormat="false" ht="30" hidden="false" customHeight="true" outlineLevel="0" collapsed="false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</row>
    <row r="11" customFormat="false" ht="25.5" hidden="false" customHeight="true" outlineLevel="0" collapsed="false">
      <c r="A11" s="7" t="n">
        <f aca="false">B27</f>
        <v>40000</v>
      </c>
      <c r="B11" s="7" t="n">
        <f aca="false">C27</f>
        <v>12000</v>
      </c>
      <c r="C11" s="7" t="n">
        <f aca="false">D27</f>
        <v>26500</v>
      </c>
      <c r="D11" s="7" t="n">
        <f aca="false">F27</f>
        <v>36000</v>
      </c>
      <c r="E11" s="7" t="n">
        <f aca="false">G27</f>
        <v>4000</v>
      </c>
      <c r="F11" s="8" t="n">
        <f aca="false">H27</f>
        <v>0.1</v>
      </c>
    </row>
    <row r="13" customFormat="false" ht="15" hidden="false" customHeight="false" outlineLevel="0" collapsed="false">
      <c r="A13" s="5" t="s">
        <v>17</v>
      </c>
      <c r="B13" s="5"/>
      <c r="C13" s="5"/>
      <c r="D13" s="5"/>
      <c r="E13" s="5"/>
      <c r="F13" s="5"/>
      <c r="G13" s="5"/>
      <c r="H13" s="5"/>
      <c r="I13" s="5"/>
    </row>
    <row r="14" customFormat="false" ht="33.75" hidden="false" customHeight="true" outlineLevel="0" collapsed="false">
      <c r="A14" s="9" t="s">
        <v>18</v>
      </c>
      <c r="B14" s="9" t="s">
        <v>11</v>
      </c>
      <c r="C14" s="9" t="s">
        <v>12</v>
      </c>
      <c r="D14" s="9" t="s">
        <v>13</v>
      </c>
      <c r="E14" s="9" t="s">
        <v>19</v>
      </c>
      <c r="F14" s="9" t="s">
        <v>14</v>
      </c>
      <c r="G14" s="9" t="s">
        <v>15</v>
      </c>
      <c r="H14" s="9" t="s">
        <v>16</v>
      </c>
      <c r="I14" s="9" t="s">
        <v>20</v>
      </c>
    </row>
    <row r="15" customFormat="false" ht="23.85" hidden="false" customHeight="false" outlineLevel="0" collapsed="false">
      <c r="A15" s="10" t="s">
        <v>21</v>
      </c>
      <c r="B15" s="11" t="n">
        <v>40000</v>
      </c>
      <c r="C15" s="11" t="n">
        <v>12000</v>
      </c>
      <c r="D15" s="11" t="n">
        <v>26500</v>
      </c>
      <c r="E15" s="12" t="n">
        <v>9500</v>
      </c>
      <c r="F15" s="13" t="n">
        <f aca="false">IF(AND(D15="",E15=""),"",D15+E15)</f>
        <v>36000</v>
      </c>
      <c r="G15" s="13" t="n">
        <f aca="false">IF(B15="","",B15-F15)</f>
        <v>4000</v>
      </c>
      <c r="H15" s="14" t="n">
        <f aca="false">IF(B15="","",IFERROR((B15-F15)/B15,""))</f>
        <v>0.1</v>
      </c>
      <c r="I15" s="10" t="s">
        <v>22</v>
      </c>
    </row>
    <row r="16" customFormat="false" ht="15" hidden="false" customHeight="false" outlineLevel="0" collapsed="false">
      <c r="A16" s="15" t="s">
        <v>23</v>
      </c>
      <c r="B16" s="16"/>
      <c r="C16" s="16"/>
      <c r="D16" s="16"/>
      <c r="E16" s="16"/>
      <c r="F16" s="17" t="str">
        <f aca="false">IF(AND(D16="",E16=""),"",D16+E16)</f>
        <v/>
      </c>
      <c r="G16" s="17" t="str">
        <f aca="false">IF(B16="","",B16-F16)</f>
        <v/>
      </c>
      <c r="H16" s="18" t="str">
        <f aca="false">IF(B16="","",IFERROR((B16-F16)/B16,""))</f>
        <v/>
      </c>
      <c r="I16" s="15"/>
    </row>
    <row r="17" customFormat="false" ht="15" hidden="false" customHeight="false" outlineLevel="0" collapsed="false">
      <c r="A17" s="15" t="s">
        <v>24</v>
      </c>
      <c r="B17" s="16"/>
      <c r="C17" s="16"/>
      <c r="D17" s="16"/>
      <c r="E17" s="16"/>
      <c r="F17" s="17" t="str">
        <f aca="false">IF(AND(D17="",E17=""),"",D17+E17)</f>
        <v/>
      </c>
      <c r="G17" s="17" t="str">
        <f aca="false">IF(B17="","",B17-F17)</f>
        <v/>
      </c>
      <c r="H17" s="18" t="str">
        <f aca="false">IF(B17="","",IFERROR((B17-F17)/B17,""))</f>
        <v/>
      </c>
      <c r="I17" s="15"/>
    </row>
    <row r="18" customFormat="false" ht="15" hidden="false" customHeight="false" outlineLevel="0" collapsed="false">
      <c r="A18" s="15" t="s">
        <v>25</v>
      </c>
      <c r="B18" s="16"/>
      <c r="C18" s="16"/>
      <c r="D18" s="16"/>
      <c r="E18" s="16"/>
      <c r="F18" s="17" t="str">
        <f aca="false">IF(AND(D18="",E18=""),"",D18+E18)</f>
        <v/>
      </c>
      <c r="G18" s="17" t="str">
        <f aca="false">IF(B18="","",B18-F18)</f>
        <v/>
      </c>
      <c r="H18" s="18" t="str">
        <f aca="false">IF(B18="","",IFERROR((B18-F18)/B18,""))</f>
        <v/>
      </c>
      <c r="I18" s="15"/>
    </row>
    <row r="19" customFormat="false" ht="15" hidden="false" customHeight="false" outlineLevel="0" collapsed="false">
      <c r="A19" s="15" t="s">
        <v>26</v>
      </c>
      <c r="B19" s="16"/>
      <c r="C19" s="16"/>
      <c r="D19" s="16"/>
      <c r="E19" s="16"/>
      <c r="F19" s="17" t="str">
        <f aca="false">IF(AND(D19="",E19=""),"",D19+E19)</f>
        <v/>
      </c>
      <c r="G19" s="17" t="str">
        <f aca="false">IF(B19="","",B19-F19)</f>
        <v/>
      </c>
      <c r="H19" s="18" t="str">
        <f aca="false">IF(B19="","",IFERROR((B19-F19)/B19,""))</f>
        <v/>
      </c>
      <c r="I19" s="15"/>
    </row>
    <row r="20" customFormat="false" ht="15" hidden="false" customHeight="false" outlineLevel="0" collapsed="false">
      <c r="A20" s="15" t="s">
        <v>27</v>
      </c>
      <c r="B20" s="16"/>
      <c r="C20" s="16"/>
      <c r="D20" s="16"/>
      <c r="E20" s="16"/>
      <c r="F20" s="17" t="str">
        <f aca="false">IF(AND(D20="",E20=""),"",D20+E20)</f>
        <v/>
      </c>
      <c r="G20" s="17" t="str">
        <f aca="false">IF(B20="","",B20-F20)</f>
        <v/>
      </c>
      <c r="H20" s="18" t="str">
        <f aca="false">IF(B20="","",IFERROR((B20-F20)/B20,""))</f>
        <v/>
      </c>
      <c r="I20" s="15"/>
    </row>
    <row r="21" customFormat="false" ht="15" hidden="false" customHeight="false" outlineLevel="0" collapsed="false">
      <c r="A21" s="15" t="s">
        <v>28</v>
      </c>
      <c r="B21" s="16"/>
      <c r="C21" s="16"/>
      <c r="D21" s="16"/>
      <c r="E21" s="16"/>
      <c r="F21" s="17" t="str">
        <f aca="false">IF(AND(D21="",E21=""),"",D21+E21)</f>
        <v/>
      </c>
      <c r="G21" s="17" t="str">
        <f aca="false">IF(B21="","",B21-F21)</f>
        <v/>
      </c>
      <c r="H21" s="18" t="str">
        <f aca="false">IF(B21="","",IFERROR((B21-F21)/B21,""))</f>
        <v/>
      </c>
      <c r="I21" s="15"/>
    </row>
    <row r="22" customFormat="false" ht="15" hidden="false" customHeight="false" outlineLevel="0" collapsed="false">
      <c r="A22" s="15" t="s">
        <v>29</v>
      </c>
      <c r="B22" s="16"/>
      <c r="C22" s="16"/>
      <c r="D22" s="16"/>
      <c r="E22" s="16"/>
      <c r="F22" s="17" t="str">
        <f aca="false">IF(AND(D22="",E22=""),"",D22+E22)</f>
        <v/>
      </c>
      <c r="G22" s="17" t="str">
        <f aca="false">IF(B22="","",B22-F22)</f>
        <v/>
      </c>
      <c r="H22" s="18" t="str">
        <f aca="false">IF(B22="","",IFERROR((B22-F22)/B22,""))</f>
        <v/>
      </c>
      <c r="I22" s="15"/>
    </row>
    <row r="23" customFormat="false" ht="15" hidden="false" customHeight="false" outlineLevel="0" collapsed="false">
      <c r="A23" s="15"/>
      <c r="B23" s="16"/>
      <c r="C23" s="16"/>
      <c r="D23" s="16"/>
      <c r="E23" s="16"/>
      <c r="F23" s="17" t="str">
        <f aca="false">IF(AND(D23="",E23=""),"",D23+E23)</f>
        <v/>
      </c>
      <c r="G23" s="17" t="str">
        <f aca="false">IF(B23="","",B23-F23)</f>
        <v/>
      </c>
      <c r="H23" s="18" t="str">
        <f aca="false">IF(B23="","",IFERROR((B23-F23)/B23,""))</f>
        <v/>
      </c>
      <c r="I23" s="15"/>
    </row>
    <row r="24" customFormat="false" ht="15" hidden="false" customHeight="false" outlineLevel="0" collapsed="false">
      <c r="A24" s="15"/>
      <c r="B24" s="16"/>
      <c r="C24" s="16"/>
      <c r="D24" s="16"/>
      <c r="E24" s="16"/>
      <c r="F24" s="17" t="str">
        <f aca="false">IF(AND(D24="",E24=""),"",D24+E24)</f>
        <v/>
      </c>
      <c r="G24" s="17" t="str">
        <f aca="false">IF(B24="","",B24-F24)</f>
        <v/>
      </c>
      <c r="H24" s="18" t="str">
        <f aca="false">IF(B24="","",IFERROR((B24-F24)/B24,""))</f>
        <v/>
      </c>
      <c r="I24" s="15"/>
    </row>
    <row r="25" customFormat="false" ht="15" hidden="false" customHeight="false" outlineLevel="0" collapsed="false">
      <c r="A25" s="15"/>
      <c r="B25" s="16"/>
      <c r="C25" s="16"/>
      <c r="D25" s="16"/>
      <c r="E25" s="16"/>
      <c r="F25" s="17" t="str">
        <f aca="false">IF(AND(D25="",E25=""),"",D25+E25)</f>
        <v/>
      </c>
      <c r="G25" s="17" t="str">
        <f aca="false">IF(B25="","",B25-F25)</f>
        <v/>
      </c>
      <c r="H25" s="18" t="str">
        <f aca="false">IF(B25="","",IFERROR((B25-F25)/B25,""))</f>
        <v/>
      </c>
      <c r="I25" s="15"/>
    </row>
    <row r="26" customFormat="false" ht="15" hidden="false" customHeight="false" outlineLevel="0" collapsed="false">
      <c r="A26" s="15"/>
      <c r="B26" s="16"/>
      <c r="C26" s="16"/>
      <c r="D26" s="16"/>
      <c r="E26" s="16"/>
      <c r="F26" s="17" t="str">
        <f aca="false">IF(AND(D26="",E26=""),"",D26+E26)</f>
        <v/>
      </c>
      <c r="G26" s="17" t="str">
        <f aca="false">IF(B26="","",B26-F26)</f>
        <v/>
      </c>
      <c r="H26" s="18" t="str">
        <f aca="false">IF(B26="","",IFERROR((B26-F26)/B26,""))</f>
        <v/>
      </c>
      <c r="I26" s="15"/>
    </row>
    <row r="27" customFormat="false" ht="15" hidden="false" customHeight="false" outlineLevel="0" collapsed="false">
      <c r="A27" s="19" t="s">
        <v>30</v>
      </c>
      <c r="B27" s="20" t="n">
        <f aca="false">SUM(B15:B26)</f>
        <v>40000</v>
      </c>
      <c r="C27" s="20" t="n">
        <f aca="false">SUM(C15:C26)</f>
        <v>12000</v>
      </c>
      <c r="D27" s="20" t="n">
        <f aca="false">SUM(D15:D26)</f>
        <v>26500</v>
      </c>
      <c r="E27" s="20" t="n">
        <f aca="false">SUM(E15:E26)</f>
        <v>9500</v>
      </c>
      <c r="F27" s="20" t="n">
        <f aca="false">D27+E27</f>
        <v>36000</v>
      </c>
      <c r="G27" s="20" t="n">
        <f aca="false">B27-F27</f>
        <v>4000</v>
      </c>
      <c r="H27" s="21" t="n">
        <f aca="false">IFERROR(G27/B27,"")</f>
        <v>0.1</v>
      </c>
      <c r="I27" s="22"/>
    </row>
    <row r="30" customFormat="false" ht="15" hidden="false" customHeight="false" outlineLevel="0" collapsed="false">
      <c r="A30" s="23" t="s">
        <v>31</v>
      </c>
    </row>
    <row r="31" customFormat="false" ht="15" hidden="false" customHeight="false" outlineLevel="0" collapsed="false">
      <c r="A31" s="24"/>
      <c r="B31" s="25" t="s">
        <v>32</v>
      </c>
    </row>
    <row r="32" customFormat="false" ht="15" hidden="false" customHeight="false" outlineLevel="0" collapsed="false">
      <c r="A32" s="26"/>
      <c r="B32" s="25" t="s">
        <v>33</v>
      </c>
    </row>
    <row r="34" customFormat="false" ht="15" hidden="false" customHeight="true" outlineLevel="0" collapsed="false">
      <c r="A34" s="27" t="s">
        <v>34</v>
      </c>
      <c r="B34" s="27"/>
      <c r="C34" s="27"/>
      <c r="D34" s="27"/>
      <c r="E34" s="27"/>
      <c r="F34" s="27"/>
      <c r="G34" s="27"/>
      <c r="H34" s="27"/>
      <c r="I34" s="27"/>
    </row>
  </sheetData>
  <mergeCells count="9">
    <mergeCell ref="A1:I1"/>
    <mergeCell ref="A2:I2"/>
    <mergeCell ref="B4:C4"/>
    <mergeCell ref="B5:C5"/>
    <mergeCell ref="B6:C6"/>
    <mergeCell ref="B7:C7"/>
    <mergeCell ref="A9:I9"/>
    <mergeCell ref="A13:I13"/>
    <mergeCell ref="A34:I34"/>
  </mergeCells>
  <conditionalFormatting sqref="G15:G27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H15:H27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conditionalFormatting sqref="E11">
    <cfRule type="cellIs" priority="6" operator="lessThan" aboveAverage="0" equalAverage="0" bottom="0" percent="0" rank="0" text="" dxfId="0">
      <formula>0</formula>
    </cfRule>
    <cfRule type="cellIs" priority="7" operator="greaterThanOrEqual" aboveAverage="0" equalAverage="0" bottom="0" percent="0" rank="0" text="" dxfId="1">
      <formula>0</formula>
    </cfRule>
  </conditionalFormatting>
  <conditionalFormatting sqref="F11">
    <cfRule type="cellIs" priority="8" operator="lessThan" aboveAverage="0" equalAverage="0" bottom="0" percent="0" rank="0" text="" dxfId="0">
      <formula>0</formula>
    </cfRule>
    <cfRule type="cellIs" priority="9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2026-09-07T07:58:03Z</dcterms:created>
  <dc:creator>openpyxl</dc:creator>
  <dc:description/>
  <dc:language>en-US</dc:language>
  <cp:lastModifiedBy/>
  <dcterms:modified xsi:type="dcterms:W3CDTF">2026-09-07T07:58:03Z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