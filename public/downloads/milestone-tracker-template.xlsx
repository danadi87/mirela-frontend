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stone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<sst xmlns="http://schemas.openxmlformats.org/spreadsheetml/2006/main" count="37" uniqueCount="37">
  <si>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Milestone Tracker Template</t>
  </si>
  <si>
    <t xml:space="preserve">Fill in Planned Date as you plan the project, then Actual Date once each milestone completes. Variance and Status calculate and highlight automatically — Status turns red the moment a Planned Date passes with no Actual Date entered.</t>
  </si>
  <si>
    <t xml:space="preserve">Project Name:</t>
  </si>
  <si>
    <t xml:space="preserve">e.g. Finance System Upgrade</t>
  </si>
  <si>
    <t xml:space="preserve">Project Manager:</t>
  </si>
  <si>
    <t xml:space="preserve">e.g. M. Nowak</t>
  </si>
  <si>
    <t xml:space="preserve">Reporting Date:</t>
  </si>
  <si>
    <t xml:space="preserve">e.g. 2025-01-06</t>
  </si>
  <si>
    <t xml:space="preserve">Summary</t>
  </si>
  <si>
    <t xml:space="preserve">Total Milestones</t>
  </si>
  <si>
    <t xml:space="preserve">Completed On Time</t>
  </si>
  <si>
    <t xml:space="preserve">Completed Late</t>
  </si>
  <si>
    <t xml:space="preserve">Delayed</t>
  </si>
  <si>
    <t xml:space="preserve">Upcoming</t>
  </si>
  <si>
    <t xml:space="preserve">Milestones by Phase</t>
  </si>
  <si>
    <t xml:space="preserve">Milestone</t>
  </si>
  <si>
    <t xml:space="preserve">Planned Date</t>
  </si>
  <si>
    <t xml:space="preserve">Actual Date</t>
  </si>
  <si>
    <t xml:space="preserve">Variance (days)</t>
  </si>
  <si>
    <t xml:space="preserve">Status</t>
  </si>
  <si>
    <t xml:space="preserve">Owner</t>
  </si>
  <si>
    <t xml:space="preserve">Notes</t>
  </si>
  <si>
    <t xml:space="preserve">PHASE 1: INITIATION</t>
  </si>
  <si>
    <t xml:space="preserve">Example: Project charter approved</t>
  </si>
  <si>
    <t xml:space="preserve">2025-01-10</t>
  </si>
  <si>
    <t xml:space="preserve">2025-01-09</t>
  </si>
  <si>
    <t xml:space="preserve">M. Nowak</t>
  </si>
  <si>
    <t xml:space="preserve">Approved a day early</t>
  </si>
  <si>
    <t xml:space="preserve">PHASE 2: PLANNING</t>
  </si>
  <si>
    <t xml:space="preserve">PHASE 3: EXECUTION</t>
  </si>
  <si>
    <t xml:space="preserve">PHASE 4: CLOSURE</t>
  </si>
  <si>
    <t xml:space="preserve">Legend</t>
  </si>
  <si>
    <t xml:space="preserve">Delayed — planned date has passed with no actual date entered</t>
  </si>
  <si>
    <t xml:space="preserve">Completed Late — actual date is after planned date</t>
  </si>
  <si>
    <t xml:space="preserve">Completed On Time — actual date is on or before planned date</t>
  </si>
  <si>
    <t xml:space="preserve">Upcoming — planned date is still in the future</t>
  </si>
  <si>
    <t xml:space="preserve">Status and Variance recalculate automatically whenever you open the file or edit a date — "Delayed" is date-driven (compares Planned Date to today), so it updates on its own without you touching the row.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</si>
</sst>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\+#,##0;\-#,##0;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A3C5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2E5A85"/>
        <bgColor rgb="FF21618C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392B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B9770E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21618C"/>
      </font>
      <fill>
        <patternFill>
          <bgColor rgb="FFD6EAF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C0C0C0"/>
      <rgbColor rgb="FF808080"/>
      <rgbColor rgb="FF9999FF"/>
      <rgbColor rgb="FF993366"/>
      <rgbColor rgb="FFFDEBD0"/>
      <rgbColor rgb="FFD6EAF8"/>
      <rgbColor rgb="FF660066"/>
      <rgbColor rgb="FFFF8080"/>
      <rgbColor rgb="FF21618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C5E"/>
      <rgbColor rgb="FF1E8449"/>
      <rgbColor rgb="FF003300"/>
      <rgbColor rgb="FF333300"/>
      <rgbColor rgb="FFC0392B"/>
      <rgbColor rgb="FF993366"/>
      <rgbColor rgb="FF2E5A8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</row>
    <row r="8" customFormat="false" ht="15" hidden="false" customHeight="false" outlineLevel="0" collapsed="false">
      <c r="A8" s="5" t="s">
        <v>8</v>
      </c>
      <c r="B8" s="5"/>
      <c r="C8" s="5"/>
      <c r="D8" s="5"/>
      <c r="E8" s="5"/>
      <c r="F8" s="5"/>
      <c r="G8" s="5"/>
    </row>
    <row r="9" customFormat="false" ht="27.75" hidden="false" customHeight="true" outlineLevel="0" collapsed="false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</row>
    <row r="10" customFormat="false" ht="25.5" hidden="false" customHeight="true" outlineLevel="0" collapsed="false">
      <c r="A10" s="7" t="n">
        <f aca="false">COUNTIF(E15:E33,"Completed On Time")+COUNTIF(E15:E33,"Completed Late")+COUNTIF(E15:E33,"Delayed")+COUNTIF(E15:E33,"Upcoming")</f>
        <v>1</v>
      </c>
      <c r="B10" s="7" t="n">
        <f aca="false">COUNTIF(E15:E33,"Completed On Time")</f>
        <v>1</v>
      </c>
      <c r="C10" s="7" t="n">
        <f aca="false">COUNTIF(E15:E33,"Completed Late")</f>
        <v>0</v>
      </c>
      <c r="D10" s="7" t="n">
        <f aca="false">COUNTIF(E15:E33,"Delayed")</f>
        <v>0</v>
      </c>
      <c r="E10" s="7" t="n">
        <f aca="false">COUNTIF(E15:E33,"Upcoming")</f>
        <v>0</v>
      </c>
    </row>
    <row r="12" customFormat="false" ht="15" hidden="false" customHeight="false" outlineLevel="0" collapsed="false">
      <c r="A12" s="5" t="s">
        <v>14</v>
      </c>
      <c r="B12" s="5"/>
      <c r="C12" s="5"/>
      <c r="D12" s="5"/>
      <c r="E12" s="5"/>
      <c r="F12" s="5"/>
      <c r="G12" s="5"/>
    </row>
    <row r="13" customFormat="false" ht="30" hidden="false" customHeight="true" outlineLevel="0" collapsed="false">
      <c r="A13" s="8" t="s">
        <v>15</v>
      </c>
      <c r="B13" s="8" t="s">
        <v>16</v>
      </c>
      <c r="C13" s="8" t="s">
        <v>17</v>
      </c>
      <c r="D13" s="8" t="s">
        <v>18</v>
      </c>
      <c r="E13" s="8" t="s">
        <v>19</v>
      </c>
      <c r="F13" s="8" t="s">
        <v>20</v>
      </c>
      <c r="G13" s="8" t="s">
        <v>21</v>
      </c>
    </row>
    <row r="14" customFormat="false" ht="21.75" hidden="false" customHeight="true" outlineLevel="0" collapsed="false">
      <c r="A14" s="9" t="s">
        <v>22</v>
      </c>
      <c r="B14" s="9"/>
      <c r="C14" s="9"/>
      <c r="D14" s="9"/>
      <c r="E14" s="9"/>
      <c r="F14" s="9"/>
      <c r="G14" s="9"/>
    </row>
    <row r="15" customFormat="false" ht="23.85" hidden="false" customHeight="false" outlineLevel="0" collapsed="false">
      <c r="A15" s="10" t="s">
        <v>23</v>
      </c>
      <c r="B15" s="11" t="s">
        <v>24</v>
      </c>
      <c r="C15" s="11" t="s">
        <v>25</v>
      </c>
      <c r="D15" s="12" t="n">
        <f aca="false">IF(OR(B15="",C15=""),"",C15-B15)</f>
        <v>-1</v>
      </c>
      <c r="E15" s="13" t="str">
        <f aca="true">IF(B15="","",IF(C15&lt;&gt;"",IF(C15&lt;=B15,"Completed On Time","Completed Late"),IF(B15&lt;TODAY(),"Delayed","Upcoming")))</f>
        <v>Completed On Time</v>
      </c>
      <c r="F15" s="13" t="s">
        <v>26</v>
      </c>
      <c r="G15" s="10" t="s">
        <v>27</v>
      </c>
    </row>
    <row r="16" customFormat="false" ht="15" hidden="false" customHeight="false" outlineLevel="0" collapsed="false">
      <c r="A16" s="14"/>
      <c r="B16" s="15"/>
      <c r="C16" s="15"/>
      <c r="D16" s="16" t="str">
        <f aca="false">IF(OR(B16="",C16=""),"",C16-B16)</f>
        <v/>
      </c>
      <c r="E16" s="17" t="str">
        <f aca="true">IF(B16="","",IF(C16&lt;&gt;"",IF(C16&lt;=B16,"Completed On Time","Completed Late"),IF(B16&lt;TODAY(),"Delayed","Upcoming")))</f>
        <v/>
      </c>
      <c r="F16" s="17"/>
      <c r="G16" s="14"/>
    </row>
    <row r="17" customFormat="false" ht="15" hidden="false" customHeight="false" outlineLevel="0" collapsed="false">
      <c r="A17" s="14"/>
      <c r="B17" s="15"/>
      <c r="C17" s="15"/>
      <c r="D17" s="16" t="str">
        <f aca="false">IF(OR(B17="",C17=""),"",C17-B17)</f>
        <v/>
      </c>
      <c r="E17" s="17" t="str">
        <f aca="true">IF(B17="","",IF(C17&lt;&gt;"",IF(C17&lt;=B17,"Completed On Time","Completed Late"),IF(B17&lt;TODAY(),"Delayed","Upcoming")))</f>
        <v/>
      </c>
      <c r="F17" s="17"/>
      <c r="G17" s="14"/>
    </row>
    <row r="19" customFormat="false" ht="21.75" hidden="false" customHeight="true" outlineLevel="0" collapsed="false">
      <c r="A19" s="9" t="s">
        <v>28</v>
      </c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14"/>
      <c r="B20" s="15"/>
      <c r="C20" s="15"/>
      <c r="D20" s="16" t="str">
        <f aca="false">IF(OR(B20="",C20=""),"",C20-B20)</f>
        <v/>
      </c>
      <c r="E20" s="17" t="str">
        <f aca="true">IF(B20="","",IF(C20&lt;&gt;"",IF(C20&lt;=B20,"Completed On Time","Completed Late"),IF(B20&lt;TODAY(),"Delayed","Upcoming")))</f>
        <v/>
      </c>
      <c r="F20" s="17"/>
      <c r="G20" s="14"/>
    </row>
    <row r="21" customFormat="false" ht="15" hidden="false" customHeight="false" outlineLevel="0" collapsed="false">
      <c r="A21" s="14"/>
      <c r="B21" s="15"/>
      <c r="C21" s="15"/>
      <c r="D21" s="16" t="str">
        <f aca="false">IF(OR(B21="",C21=""),"",C21-B21)</f>
        <v/>
      </c>
      <c r="E21" s="17" t="str">
        <f aca="true">IF(B21="","",IF(C21&lt;&gt;"",IF(C21&lt;=B21,"Completed On Time","Completed Late"),IF(B21&lt;TODAY(),"Delayed","Upcoming")))</f>
        <v/>
      </c>
      <c r="F21" s="17"/>
      <c r="G21" s="14"/>
    </row>
    <row r="22" customFormat="false" ht="15" hidden="false" customHeight="false" outlineLevel="0" collapsed="false">
      <c r="A22" s="14"/>
      <c r="B22" s="15"/>
      <c r="C22" s="15"/>
      <c r="D22" s="16" t="str">
        <f aca="false">IF(OR(B22="",C22=""),"",C22-B22)</f>
        <v/>
      </c>
      <c r="E22" s="17" t="str">
        <f aca="true">IF(B22="","",IF(C22&lt;&gt;"",IF(C22&lt;=B22,"Completed On Time","Completed Late"),IF(B22&lt;TODAY(),"Delayed","Upcoming")))</f>
        <v/>
      </c>
      <c r="F22" s="17"/>
      <c r="G22" s="14"/>
    </row>
    <row r="24" customFormat="false" ht="21.75" hidden="false" customHeight="true" outlineLevel="0" collapsed="false">
      <c r="A24" s="9" t="s">
        <v>29</v>
      </c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14"/>
      <c r="B25" s="15"/>
      <c r="C25" s="15"/>
      <c r="D25" s="16" t="str">
        <f aca="false">IF(OR(B25="",C25=""),"",C25-B25)</f>
        <v/>
      </c>
      <c r="E25" s="17" t="str">
        <f aca="true">IF(B25="","",IF(C25&lt;&gt;"",IF(C25&lt;=B25,"Completed On Time","Completed Late"),IF(B25&lt;TODAY(),"Delayed","Upcoming")))</f>
        <v/>
      </c>
      <c r="F25" s="17"/>
      <c r="G25" s="14"/>
    </row>
    <row r="26" customFormat="false" ht="15" hidden="false" customHeight="false" outlineLevel="0" collapsed="false">
      <c r="A26" s="14"/>
      <c r="B26" s="15"/>
      <c r="C26" s="15"/>
      <c r="D26" s="16" t="str">
        <f aca="false">IF(OR(B26="",C26=""),"",C26-B26)</f>
        <v/>
      </c>
      <c r="E26" s="17" t="str">
        <f aca="true">IF(B26="","",IF(C26&lt;&gt;"",IF(C26&lt;=B26,"Completed On Time","Completed Late"),IF(B26&lt;TODAY(),"Delayed","Upcoming")))</f>
        <v/>
      </c>
      <c r="F26" s="17"/>
      <c r="G26" s="14"/>
    </row>
    <row r="27" customFormat="false" ht="15" hidden="false" customHeight="false" outlineLevel="0" collapsed="false">
      <c r="A27" s="14"/>
      <c r="B27" s="15"/>
      <c r="C27" s="15"/>
      <c r="D27" s="16" t="str">
        <f aca="false">IF(OR(B27="",C27=""),"",C27-B27)</f>
        <v/>
      </c>
      <c r="E27" s="17" t="str">
        <f aca="true">IF(B27="","",IF(C27&lt;&gt;"",IF(C27&lt;=B27,"Completed On Time","Completed Late"),IF(B27&lt;TODAY(),"Delayed","Upcoming")))</f>
        <v/>
      </c>
      <c r="F27" s="17"/>
      <c r="G27" s="14"/>
    </row>
    <row r="28" customFormat="false" ht="15" hidden="false" customHeight="false" outlineLevel="0" collapsed="false">
      <c r="A28" s="14"/>
      <c r="B28" s="15"/>
      <c r="C28" s="15"/>
      <c r="D28" s="16" t="str">
        <f aca="false">IF(OR(B28="",C28=""),"",C28-B28)</f>
        <v/>
      </c>
      <c r="E28" s="17" t="str">
        <f aca="true">IF(B28="","",IF(C28&lt;&gt;"",IF(C28&lt;=B28,"Completed On Time","Completed Late"),IF(B28&lt;TODAY(),"Delayed","Upcoming")))</f>
        <v/>
      </c>
      <c r="F28" s="17"/>
      <c r="G28" s="14"/>
    </row>
    <row r="30" customFormat="false" ht="21.75" hidden="false" customHeight="true" outlineLevel="0" collapsed="false">
      <c r="A30" s="9" t="s">
        <v>30</v>
      </c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14"/>
      <c r="B31" s="15"/>
      <c r="C31" s="15"/>
      <c r="D31" s="16" t="str">
        <f aca="false">IF(OR(B31="",C31=""),"",C31-B31)</f>
        <v/>
      </c>
      <c r="E31" s="17" t="str">
        <f aca="true">IF(B31="","",IF(C31&lt;&gt;"",IF(C31&lt;=B31,"Completed On Time","Completed Late"),IF(B31&lt;TODAY(),"Delayed","Upcoming")))</f>
        <v/>
      </c>
      <c r="F31" s="17"/>
      <c r="G31" s="14"/>
    </row>
    <row r="32" customFormat="false" ht="15" hidden="false" customHeight="false" outlineLevel="0" collapsed="false">
      <c r="A32" s="14"/>
      <c r="B32" s="15"/>
      <c r="C32" s="15"/>
      <c r="D32" s="16" t="str">
        <f aca="false">IF(OR(B32="",C32=""),"",C32-B32)</f>
        <v/>
      </c>
      <c r="E32" s="17" t="str">
        <f aca="true">IF(B32="","",IF(C32&lt;&gt;"",IF(C32&lt;=B32,"Completed On Time","Completed Late"),IF(B32&lt;TODAY(),"Delayed","Upcoming")))</f>
        <v/>
      </c>
      <c r="F32" s="17"/>
      <c r="G32" s="14"/>
    </row>
    <row r="33" customFormat="false" ht="15" hidden="false" customHeight="false" outlineLevel="0" collapsed="false">
      <c r="A33" s="14"/>
      <c r="B33" s="15"/>
      <c r="C33" s="15"/>
      <c r="D33" s="16" t="str">
        <f aca="false">IF(OR(B33="",C33=""),"",C33-B33)</f>
        <v/>
      </c>
      <c r="E33" s="17" t="str">
        <f aca="true">IF(B33="","",IF(C33&lt;&gt;"",IF(C33&lt;=B33,"Completed On Time","Completed Late"),IF(B33&lt;TODAY(),"Delayed","Upcoming")))</f>
        <v/>
      </c>
      <c r="F33" s="17"/>
      <c r="G33" s="14"/>
    </row>
    <row r="36" customFormat="false" ht="15" hidden="false" customHeight="false" outlineLevel="0" collapsed="false">
      <c r="A36" s="18" t="s">
        <v>31</v>
      </c>
    </row>
    <row r="37" customFormat="false" ht="15" hidden="false" customHeight="false" outlineLevel="0" collapsed="false">
      <c r="A37" s="19"/>
      <c r="B37" s="20" t="s">
        <v>32</v>
      </c>
    </row>
    <row r="38" customFormat="false" ht="15" hidden="false" customHeight="false" outlineLevel="0" collapsed="false">
      <c r="A38" s="21"/>
      <c r="B38" s="20" t="s">
        <v>33</v>
      </c>
    </row>
    <row r="39" customFormat="false" ht="15" hidden="false" customHeight="false" outlineLevel="0" collapsed="false">
      <c r="A39" s="22"/>
      <c r="B39" s="20" t="s">
        <v>34</v>
      </c>
    </row>
    <row r="40" customFormat="false" ht="15" hidden="false" customHeight="false" outlineLevel="0" collapsed="false">
      <c r="A40" s="23"/>
      <c r="B40" s="20" t="s">
        <v>35</v>
      </c>
    </row>
    <row r="42" customFormat="false" ht="19.4" hidden="false" customHeight="true" outlineLevel="0" collapsed="false">
      <c r="A42" s="24" t="s">
        <v>36</v>
      </c>
      <c r="B42" s="24"/>
      <c r="C42" s="24"/>
      <c r="D42" s="24"/>
      <c r="E42" s="24"/>
      <c r="F42" s="24"/>
      <c r="G42" s="24"/>
    </row>
  </sheetData>
  <mergeCells count="15">
    <mergeCell ref="A1:G1"/>
    <mergeCell ref="A2:G2"/>
    <mergeCell ref="A4:B4"/>
    <mergeCell ref="C4:E4"/>
    <mergeCell ref="A5:B5"/>
    <mergeCell ref="C5:E5"/>
    <mergeCell ref="A6:B6"/>
    <mergeCell ref="C6:E6"/>
    <mergeCell ref="A8:G8"/>
    <mergeCell ref="A12:G12"/>
    <mergeCell ref="A14:G14"/>
    <mergeCell ref="A19:G19"/>
    <mergeCell ref="A24:G24"/>
    <mergeCell ref="A30:G30"/>
    <mergeCell ref="A42:G42"/>
  </mergeCells>
  <conditionalFormatting sqref="E15:E17">
    <cfRule type="cellIs" priority="2" operator="equal" aboveAverage="0" equalAverage="0" bottom="0" percent="0" rank="0" text="" dxfId="0">
      <formula>"Delayed"</formula>
    </cfRule>
    <cfRule type="cellIs" priority="3" operator="equal" aboveAverage="0" equalAverage="0" bottom="0" percent="0" rank="0" text="" dxfId="1">
      <formula>"Completed Late"</formula>
    </cfRule>
    <cfRule type="cellIs" priority="4" operator="equal" aboveAverage="0" equalAverage="0" bottom="0" percent="0" rank="0" text="" dxfId="2">
      <formula>"Completed On Time"</formula>
    </cfRule>
    <cfRule type="cellIs" priority="5" operator="equal" aboveAverage="0" equalAverage="0" bottom="0" percent="0" rank="0" text="" dxfId="3">
      <formula>"Upcoming"</formula>
    </cfRule>
  </conditionalFormatting>
  <conditionalFormatting sqref="D15:D17">
    <cfRule type="cellIs" priority="6" operator="greaterThan" aboveAverage="0" equalAverage="0" bottom="0" percent="0" rank="0" text="" dxfId="0">
      <formula>0</formula>
    </cfRule>
    <cfRule type="expression" priority="7" aboveAverage="0" equalAverage="0" bottom="0" percent="0" rank="0" text="" dxfId="2">
      <formula>AND(ISNUMBER(D15),D15&lt;=0)</formula>
    </cfRule>
  </conditionalFormatting>
  <conditionalFormatting sqref="E20:E22">
    <cfRule type="cellIs" priority="8" operator="equal" aboveAverage="0" equalAverage="0" bottom="0" percent="0" rank="0" text="" dxfId="0">
      <formula>"Delayed"</formula>
    </cfRule>
    <cfRule type="cellIs" priority="9" operator="equal" aboveAverage="0" equalAverage="0" bottom="0" percent="0" rank="0" text="" dxfId="1">
      <formula>"Completed Late"</formula>
    </cfRule>
    <cfRule type="cellIs" priority="10" operator="equal" aboveAverage="0" equalAverage="0" bottom="0" percent="0" rank="0" text="" dxfId="2">
      <formula>"Completed On Time"</formula>
    </cfRule>
    <cfRule type="cellIs" priority="11" operator="equal" aboveAverage="0" equalAverage="0" bottom="0" percent="0" rank="0" text="" dxfId="3">
      <formula>"Upcoming"</formula>
    </cfRule>
  </conditionalFormatting>
  <conditionalFormatting sqref="D20:D22">
    <cfRule type="cellIs" priority="12" operator="greaterThan" aboveAverage="0" equalAverage="0" bottom="0" percent="0" rank="0" text="" dxfId="0">
      <formula>0</formula>
    </cfRule>
    <cfRule type="expression" priority="13" aboveAverage="0" equalAverage="0" bottom="0" percent="0" rank="0" text="" dxfId="2">
      <formula>AND(ISNUMBER(D20),D20&lt;=0)</formula>
    </cfRule>
  </conditionalFormatting>
  <conditionalFormatting sqref="E25:E28">
    <cfRule type="cellIs" priority="14" operator="equal" aboveAverage="0" equalAverage="0" bottom="0" percent="0" rank="0" text="" dxfId="0">
      <formula>"Delayed"</formula>
    </cfRule>
    <cfRule type="cellIs" priority="15" operator="equal" aboveAverage="0" equalAverage="0" bottom="0" percent="0" rank="0" text="" dxfId="1">
      <formula>"Completed Late"</formula>
    </cfRule>
    <cfRule type="cellIs" priority="16" operator="equal" aboveAverage="0" equalAverage="0" bottom="0" percent="0" rank="0" text="" dxfId="2">
      <formula>"Completed On Time"</formula>
    </cfRule>
    <cfRule type="cellIs" priority="17" operator="equal" aboveAverage="0" equalAverage="0" bottom="0" percent="0" rank="0" text="" dxfId="3">
      <formula>"Upcoming"</formula>
    </cfRule>
  </conditionalFormatting>
  <conditionalFormatting sqref="D25:D28">
    <cfRule type="cellIs" priority="18" operator="greaterThan" aboveAverage="0" equalAverage="0" bottom="0" percent="0" rank="0" text="" dxfId="0">
      <formula>0</formula>
    </cfRule>
    <cfRule type="expression" priority="19" aboveAverage="0" equalAverage="0" bottom="0" percent="0" rank="0" text="" dxfId="2">
      <formula>AND(ISNUMBER(D25),D25&lt;=0)</formula>
    </cfRule>
  </conditionalFormatting>
  <conditionalFormatting sqref="E31:E33">
    <cfRule type="cellIs" priority="20" operator="equal" aboveAverage="0" equalAverage="0" bottom="0" percent="0" rank="0" text="" dxfId="0">
      <formula>"Delayed"</formula>
    </cfRule>
    <cfRule type="cellIs" priority="21" operator="equal" aboveAverage="0" equalAverage="0" bottom="0" percent="0" rank="0" text="" dxfId="1">
      <formula>"Completed Late"</formula>
    </cfRule>
    <cfRule type="cellIs" priority="22" operator="equal" aboveAverage="0" equalAverage="0" bottom="0" percent="0" rank="0" text="" dxfId="2">
      <formula>"Completed On Time"</formula>
    </cfRule>
    <cfRule type="cellIs" priority="23" operator="equal" aboveAverage="0" equalAverage="0" bottom="0" percent="0" rank="0" text="" dxfId="3">
      <formula>"Upcoming"</formula>
    </cfRule>
  </conditionalFormatting>
  <conditionalFormatting sqref="D31:D33">
    <cfRule type="cellIs" priority="24" operator="greaterThan" aboveAverage="0" equalAverage="0" bottom="0" percent="0" rank="0" text="" dxfId="0">
      <formula>0</formula>
    </cfRule>
    <cfRule type="expression" priority="25" aboveAverage="0" equalAverage="0" bottom="0" percent="0" rank="0" text="" dxfId="2">
      <formula>AND(ISNUMBER(D31),D31&lt;=0)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2026-09-07T09:53:48Z</dcterms:created>
  <dc:creator>openpyxl</dc:creator>
  <dc:description/>
  <dc:language>en-US</dc:language>
  <cp:lastModifiedBy/>
  <dcterms:modified xsi:type="dcterms:W3CDTF">2026-09-07T09:53:48Z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