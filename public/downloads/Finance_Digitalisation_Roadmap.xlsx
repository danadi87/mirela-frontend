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ragu\Documents\GitHub\mirela-website\mirela-frontend\public\downloads\"/>
    </mc:Choice>
  </mc:AlternateContent>
  <xr:revisionPtr revIDLastSave="0" documentId="8_{0F85772D-00D9-4843-A4D3-503EB17CE35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structions" sheetId="1" r:id="rId1"/>
    <sheet name="Current State Assessment" sheetId="2" r:id="rId2"/>
    <sheet name="Priority Initiative Framework" sheetId="3" r:id="rId3"/>
    <sheet name="12-Month Roadmap" sheetId="4" r:id="rId4"/>
    <sheet name="Resource Requirement Planner" sheetId="5" r:id="rId5"/>
    <sheet name="KPI Dashboard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6" l="1"/>
  <c r="G12" i="6" s="1"/>
  <c r="F11" i="6"/>
  <c r="G11" i="6" s="1"/>
  <c r="F10" i="6"/>
  <c r="G10" i="6" s="1"/>
  <c r="F9" i="6"/>
  <c r="G9" i="6" s="1"/>
  <c r="F8" i="6"/>
  <c r="G8" i="6" s="1"/>
  <c r="F7" i="6"/>
  <c r="G7" i="6" s="1"/>
  <c r="F6" i="6"/>
  <c r="G6" i="6" s="1"/>
  <c r="F5" i="6"/>
  <c r="G5" i="6" s="1"/>
  <c r="F30" i="5"/>
  <c r="F29" i="5"/>
  <c r="F28" i="5"/>
  <c r="F24" i="5"/>
  <c r="F23" i="5"/>
  <c r="F22" i="5"/>
  <c r="F19" i="5"/>
  <c r="A19" i="5"/>
  <c r="F18" i="5"/>
  <c r="A18" i="5"/>
  <c r="F17" i="5"/>
  <c r="A17" i="5"/>
  <c r="F16" i="5"/>
  <c r="A16" i="5"/>
  <c r="F15" i="5"/>
  <c r="A15" i="5"/>
  <c r="F14" i="5"/>
  <c r="A14" i="5"/>
  <c r="F13" i="5"/>
  <c r="A13" i="5"/>
  <c r="F12" i="5"/>
  <c r="A12" i="5"/>
  <c r="F11" i="5"/>
  <c r="A11" i="5"/>
  <c r="F10" i="5"/>
  <c r="A10" i="5"/>
  <c r="F9" i="5"/>
  <c r="A9" i="5"/>
  <c r="F8" i="5"/>
  <c r="A8" i="5"/>
  <c r="F7" i="5"/>
  <c r="A7" i="5"/>
  <c r="F6" i="5"/>
  <c r="A6" i="5"/>
  <c r="F5" i="5"/>
  <c r="F25" i="5" s="1"/>
  <c r="A5" i="5"/>
  <c r="D19" i="4"/>
  <c r="A19" i="4"/>
  <c r="D18" i="4"/>
  <c r="A18" i="4"/>
  <c r="D17" i="4"/>
  <c r="A17" i="4"/>
  <c r="A16" i="4"/>
  <c r="D15" i="4"/>
  <c r="A15" i="4"/>
  <c r="D14" i="4"/>
  <c r="A14" i="4"/>
  <c r="D13" i="4"/>
  <c r="A13" i="4"/>
  <c r="A12" i="4"/>
  <c r="D11" i="4"/>
  <c r="A11" i="4"/>
  <c r="D10" i="4"/>
  <c r="A10" i="4"/>
  <c r="D9" i="4"/>
  <c r="A9" i="4"/>
  <c r="A8" i="4"/>
  <c r="D7" i="4"/>
  <c r="A7" i="4"/>
  <c r="D6" i="4"/>
  <c r="A6" i="4"/>
  <c r="D5" i="4"/>
  <c r="A5" i="4"/>
  <c r="E19" i="3"/>
  <c r="D19" i="3"/>
  <c r="E18" i="3"/>
  <c r="D18" i="3"/>
  <c r="E17" i="3"/>
  <c r="D17" i="3"/>
  <c r="E16" i="3"/>
  <c r="D16" i="4" s="1"/>
  <c r="D16" i="3"/>
  <c r="E15" i="3"/>
  <c r="D15" i="3"/>
  <c r="E14" i="3"/>
  <c r="D14" i="3"/>
  <c r="E13" i="3"/>
  <c r="D13" i="3"/>
  <c r="E12" i="3"/>
  <c r="D12" i="4" s="1"/>
  <c r="D12" i="3"/>
  <c r="E11" i="3"/>
  <c r="D11" i="3"/>
  <c r="E10" i="3"/>
  <c r="D10" i="3"/>
  <c r="E9" i="3"/>
  <c r="D9" i="3"/>
  <c r="E8" i="3"/>
  <c r="F31" i="5" s="1"/>
  <c r="D8" i="3"/>
  <c r="E7" i="3"/>
  <c r="D7" i="3"/>
  <c r="E6" i="3"/>
  <c r="D6" i="3"/>
  <c r="E5" i="3"/>
  <c r="D5" i="3"/>
  <c r="C50" i="2"/>
  <c r="C53" i="2" s="1"/>
  <c r="C46" i="2"/>
  <c r="C45" i="2"/>
  <c r="C42" i="2"/>
  <c r="C49" i="2" s="1"/>
  <c r="C34" i="2"/>
  <c r="C48" i="2" s="1"/>
  <c r="C26" i="2"/>
  <c r="C47" i="2" s="1"/>
  <c r="C18" i="2"/>
  <c r="C10" i="2"/>
  <c r="C17" i="6" l="1"/>
  <c r="C16" i="6"/>
  <c r="C15" i="6"/>
  <c r="D8" i="4"/>
</calcChain>
</file>

<file path=xl/sharedStrings.xml><?xml version="1.0" encoding="utf-8"?>
<sst xmlns="http://schemas.openxmlformats.org/spreadsheetml/2006/main" count="220" uniqueCount="177">
  <si>
    <t>Finance Function Digitalisation Roadmap</t>
  </si>
  <si>
    <t>A 12-month digitalisation roadmap planning tool for finance functions — current state assessment, priority initiative framework, resource requirement planner, and KPI dashboard.</t>
  </si>
  <si>
    <t>How This Workbook Is Organised</t>
  </si>
  <si>
    <t>–  Current State Assessment: Score your finance function's digital maturity across 5 dimensions to establish your starting point.</t>
  </si>
  <si>
    <t>–  Priority Initiative Framework: Score candidate initiatives by impact and effort to decide what to tackle first.</t>
  </si>
  <si>
    <t>–  12-Month Roadmap: A dynamic Gantt view — set a start month and duration per initiative and the timeline shades itself in.</t>
  </si>
  <si>
    <t>–  Resource Requirement Planner: Budget, internal hours, and vendor costs per initiative, with a rolled-up total.</t>
  </si>
  <si>
    <t>–  KPI Dashboard: Baseline, target, and current values for 8 measures that track whether the roadmap is actually working.</t>
  </si>
  <si>
    <t>Colour Legend</t>
  </si>
  <si>
    <t>–  Blue text = an input cell you should fill in or edit for your own organisation.</t>
  </si>
  <si>
    <t>–  Black text = a formula — do not overtype, or the roadmap will stop calculating correctly.</t>
  </si>
  <si>
    <t>–  Green text = a link pulling data from another tab.</t>
  </si>
  <si>
    <t>–  Yellow fill = marks a key input or assumption cell.</t>
  </si>
  <si>
    <t>Getting Started</t>
  </si>
  <si>
    <t>1.  Complete the ‘Current State Assessment’ honestly, as a team if possible — this sets a genuine baseline, not an aspirational one.</t>
  </si>
  <si>
    <t>2.  Review ‘Priority Initiative Framework’ and score each candidate initiative for your organisation — replace or add rows to fit your own context.</t>
  </si>
  <si>
    <t>3.  Use the resulting priority tiers to decide sequencing, then set start months and durations in ‘12-Month Roadmap’.</t>
  </si>
  <si>
    <t>4.  Fill in ‘Resource Requirement Planner’ to understand the real budget and internal capacity this roadmap requires.</t>
  </si>
  <si>
    <t>5.  Set baselines and targets in ‘KPI Dashboard’, then update ‘Current’ monthly to track real progress.</t>
  </si>
  <si>
    <t>Important Notes</t>
  </si>
  <si>
    <t>This workbook ships with illustrative sample initiatives and scores so you can see how it behaves — replace them with your own before using it to make real decisions.</t>
  </si>
  <si>
    <t>A roadmap is a planning tool, not a contract. Revisit the Priority Framework and Roadmap tabs at least quarterly as priorities and constraints shift.</t>
  </si>
  <si>
    <t>Current State Assessment</t>
  </si>
  <si>
    <t>Score each statement 1 (Rarely/Never) to 5 (Consistently/Fully) as a team, not just from one perspective.</t>
  </si>
  <si>
    <t>Core Systems &amp; ERP</t>
  </si>
  <si>
    <t>Statement</t>
  </si>
  <si>
    <t>Score (1-5)</t>
  </si>
  <si>
    <t>Our core financial system is a single, integrated platform rather than a patchwork of disconnected tools.</t>
  </si>
  <si>
    <t>We can access accurate financial data in real time, not just after a manual export or reconciliation.</t>
  </si>
  <si>
    <t>Adding a new entity, cost centre, or reporting need doesn't require significant manual system rework.</t>
  </si>
  <si>
    <t>Our system vendor actively supports us with updates, security patches, and a credible product roadmap.</t>
  </si>
  <si>
    <t>Core Systems &amp; ERP — Dimension Score</t>
  </si>
  <si>
    <t>/ 20</t>
  </si>
  <si>
    <t>Data &amp; Reporting</t>
  </si>
  <si>
    <t>Standard management reports are generated automatically, not rebuilt manually each period.</t>
  </si>
  <si>
    <t>Stakeholders can self-serve common reporting needs without submitting a request to finance.</t>
  </si>
  <si>
    <t>We trust our data enough to act on a dashboard number without re-verifying it manually first.</t>
  </si>
  <si>
    <t>Report definitions (what a metric means) are documented and consistent across the organisation.</t>
  </si>
  <si>
    <t>Data &amp; Reporting — Dimension Score</t>
  </si>
  <si>
    <t>Process Automation</t>
  </si>
  <si>
    <t>Routine reconciliations (bank, AR, AP) are substantially automated, not manually matched line by line.</t>
  </si>
  <si>
    <t>Month-end close relies on defined, largely automated workflows rather than ad hoc effort each period.</t>
  </si>
  <si>
    <t>Repetitive, high-volume tasks (data entry, standard journal entries) are automated or assisted by tools.</t>
  </si>
  <si>
    <t>We have actively evaluated AI or RPA tools for at least one real finance process, not just discussed it.</t>
  </si>
  <si>
    <t>Process Automation — Dimension Score</t>
  </si>
  <si>
    <t>Team Skills &amp; Capability</t>
  </si>
  <si>
    <t>Our finance team is comfortable using the digital tools already available to them, not just tolerating them.</t>
  </si>
  <si>
    <t>At least one person on the team can build or maintain intermediate automation (Power Query, macros, scripts).</t>
  </si>
  <si>
    <t>The team receives some ongoing training on new digital tools, not just onboarding training once.</t>
  </si>
  <si>
    <t>The team sees digitalisation as making their work better, not primarily as a threat to their role.</t>
  </si>
  <si>
    <t>Team Skills &amp; Capability — Dimension Score</t>
  </si>
  <si>
    <t>Governance &amp; Controls</t>
  </si>
  <si>
    <t>We have a clear view of who has access to which financial systems and data, and it's reviewed periodically.</t>
  </si>
  <si>
    <t>Controls have been explicitly reviewed and updated for the automated processes we've already implemented.</t>
  </si>
  <si>
    <t>There is a named owner responsible for data governance and AI/tool usage decisions in finance.</t>
  </si>
  <si>
    <t>We have a clear process for evaluating a new digital tool before it touches real financial data.</t>
  </si>
  <si>
    <t>Governance &amp; Controls — Dimension Score</t>
  </si>
  <si>
    <t>OVERALL DIGITAL MATURITY SCORE</t>
  </si>
  <si>
    <t>TOTAL MATURITY SCORE</t>
  </si>
  <si>
    <t>/ 100</t>
  </si>
  <si>
    <t>MATURITY BAND</t>
  </si>
  <si>
    <t>Interpretation</t>
  </si>
  <si>
    <t>Priority Initiative Framework</t>
  </si>
  <si>
    <t>Score each candidate initiative on Impact (1-5) and Effort (1-5). Priority Score and Tier calculate automatically — replace or add initiative rows to fit your own organisation.</t>
  </si>
  <si>
    <t>Initiative</t>
  </si>
  <si>
    <t>Impact
(1-5)</t>
  </si>
  <si>
    <t>Effort
(1-5)</t>
  </si>
  <si>
    <t>Priority Score</t>
  </si>
  <si>
    <t>Priority Tier</t>
  </si>
  <si>
    <t>Notes</t>
  </si>
  <si>
    <t>Automate bank &amp; cash reconciliation</t>
  </si>
  <si>
    <t>Strong quick-win candidate — mature tools, low disruption.</t>
  </si>
  <si>
    <t>AI-assisted month-end close checklist &amp; workflow</t>
  </si>
  <si>
    <t>Builds on existing close process rather than replacing it.</t>
  </si>
  <si>
    <t>Deploy Copilot / AI tools in Excel for reporting</t>
  </si>
  <si>
    <t>Low-cost pilot; licensing already in place for many teams.</t>
  </si>
  <si>
    <t>Rolling 13-week cash flow forecasting model</t>
  </si>
  <si>
    <t>High visibility win for leadership and lenders.</t>
  </si>
  <si>
    <t>Automate AP invoice processing (OCR / matching)</t>
  </si>
  <si>
    <t>High volume, high manual effort today — worth the build cost.</t>
  </si>
  <si>
    <t>Automate AR collections &amp; dunning workflow</t>
  </si>
  <si>
    <t>Directly improves cash position, not just efficiency.</t>
  </si>
  <si>
    <t>RPA for repetitive journal entries</t>
  </si>
  <si>
    <t>Good candidate once close process is documented and stable.</t>
  </si>
  <si>
    <t>Self-service BI dashboards for stakeholders</t>
  </si>
  <si>
    <t>Reduces ad hoc reporting requests once adopted.</t>
  </si>
  <si>
    <t>Migrate to cloud ERP / upgrade core system</t>
  </si>
  <si>
    <t>Highest impact, highest effort — needs its own project plan.</t>
  </si>
  <si>
    <t>E-signature &amp; digital approval workflows</t>
  </si>
  <si>
    <t>Fast to implement, meaningful control and speed benefit.</t>
  </si>
  <si>
    <t>Automate variance analysis &amp; flux reporting</t>
  </si>
  <si>
    <t>Pairs well with the BI dashboard initiative above.</t>
  </si>
  <si>
    <t>Financial data warehouse / single source of truth</t>
  </si>
  <si>
    <t>Foundational for everything else — sequence carefully.</t>
  </si>
  <si>
    <t>Implement continuous close practices</t>
  </si>
  <si>
    <t>Cultural and process change, not just a tool rollout.</t>
  </si>
  <si>
    <t>Train finance team on AI tools &amp; data literacy</t>
  </si>
  <si>
    <t>Underrated lever — unlocks value from every other initiative.</t>
  </si>
  <si>
    <t>Establish AI / data governance framework</t>
  </si>
  <si>
    <t>Do this early — retrofitting governance later is harder.</t>
  </si>
  <si>
    <t>PRIORITY TIER LOGIC</t>
  </si>
  <si>
    <t>Quick Win</t>
  </si>
  <si>
    <t>Impact ≥ 4, Effort ≤ 2</t>
  </si>
  <si>
    <t>Do these first — high return, low disruption.</t>
  </si>
  <si>
    <t>Major Project</t>
  </si>
  <si>
    <t>Impact ≥ 4, Effort ≥ 3</t>
  </si>
  <si>
    <t>Worth doing, but needs proper planning and resourcing.</t>
  </si>
  <si>
    <t>Fill-In</t>
  </si>
  <si>
    <t>Impact ≤ 3, Effort ≤ 2</t>
  </si>
  <si>
    <t>Nice to have — slot in around higher-priority work.</t>
  </si>
  <si>
    <t>Deprioritise</t>
  </si>
  <si>
    <t>Everything else</t>
  </si>
  <si>
    <t>Low return for the effort required — revisit later if priorities shift.</t>
  </si>
  <si>
    <t>12-Month Roadmap</t>
  </si>
  <si>
    <t>Set a Start Month (1-12) and Duration (months) for each initiative — the timeline shades itself in automatically, colour-coded by Priority Tier from the framework tab.</t>
  </si>
  <si>
    <t>Start
Month</t>
  </si>
  <si>
    <t>Duration
(Months)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</si>
  <si>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</si>
  <si>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</si>
  <si>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</si>
  <si>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</si>
  <si>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</si>
  <si>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</si>
  <si>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</si>
  <si>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</si>
  <si>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</si>
  <si>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</si>
  <si>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</si>
  <si>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</si>
  <si>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COLOUR KEY (matches Priority Tier from the framework tab)</t>
  </si>
  <si>
    <t>Resource Requirement Planner</t>
  </si>
  <si>
    <t>Estimate the internal and external resource each initiative needs. Total Cost and the rollup below calculate automatically.</t>
  </si>
  <si>
    <t>Internal FTE
Hours / Week</t>
  </si>
  <si>
    <t>External /
Vendor Cost ($)</t>
  </si>
  <si>
    <t>Software /
Tool Cost ($)</t>
  </si>
  <si>
    <t>Department(s) Involved</t>
  </si>
  <si>
    <t>Total Cost ($)</t>
  </si>
  <si>
    <t>Accounting, IT</t>
  </si>
  <si>
    <t>Accounting, FP&amp;A</t>
  </si>
  <si>
    <t>FP&amp;A, Reporting</t>
  </si>
  <si>
    <t>Treasury, FP&amp;A</t>
  </si>
  <si>
    <t>AP, IT, Procurement</t>
  </si>
  <si>
    <t>AR, Credit Control</t>
  </si>
  <si>
    <t>FP&amp;A, Reporting, IT</t>
  </si>
  <si>
    <t>All Finance, IT</t>
  </si>
  <si>
    <t>Accounting, Legal</t>
  </si>
  <si>
    <t>All Finance, HR</t>
  </si>
  <si>
    <t>Finance Leadership, IT</t>
  </si>
  <si>
    <t>PROGRAMME TOTALS</t>
  </si>
  <si>
    <t>Total Internal FTE Hours / Week (across all active initiatives)</t>
  </si>
  <si>
    <t>Total External / Vendor Cost</t>
  </si>
  <si>
    <t>Total Software / Tool Cost</t>
  </si>
  <si>
    <t>TOTAL PROGRAMME COST</t>
  </si>
  <si>
    <t>Cost by Priority Tier:</t>
  </si>
  <si>
    <t>KPI Dashboard</t>
  </si>
  <si>
    <t>Set Baseline and Target when you start the roadmap. Update Current each month — Status and Progress calculate automatically.</t>
  </si>
  <si>
    <t>KPI</t>
  </si>
  <si>
    <t>Direction</t>
  </si>
  <si>
    <t>Baseline</t>
  </si>
  <si>
    <t>Target</t>
  </si>
  <si>
    <t>Current</t>
  </si>
  <si>
    <t>Progress</t>
  </si>
  <si>
    <t>Status</t>
  </si>
  <si>
    <t>% of Month-End Close Tasks Automated</t>
  </si>
  <si>
    <t>Higher is Better</t>
  </si>
  <si>
    <t>Days to Close (Calendar Days)</t>
  </si>
  <si>
    <t>Lower is Better</t>
  </si>
  <si>
    <t>Manual Journal Entries per Month</t>
  </si>
  <si>
    <t>% of Invoices Processed Touchless</t>
  </si>
  <si>
    <t>Average Report Generation Time (Hours)</t>
  </si>
  <si>
    <t>Reconciliation Exceptions per Month</t>
  </si>
  <si>
    <t>Finance Team Hours on Manual Data Entry / Week</t>
  </si>
  <si>
    <t>% of Forecasts Using Live/Automated Data Feeds</t>
  </si>
  <si>
    <t>SUMMARY</t>
  </si>
  <si>
    <t>KPIs Achieved:</t>
  </si>
  <si>
    <t>KPIs On Track:</t>
  </si>
  <si>
    <t>KPIs Behind: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</si>
</sst>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&quot;($&quot;#,##0\);\-"/>
    <numFmt numFmtId="165" formatCode="0.0%"/>
    <numFmt numFmtId="166" formatCode="0.0"/>
  </numFmts>
  <fonts count="4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64748B"/>
      <name val="Arial"/>
      <charset val="1"/>
    </font>
    <font>
      <b/>
      <sz val="10.5"/>
      <color rgb="FFFFFFFF"/>
      <name val="Arial"/>
      <charset val="1"/>
    </font>
    <font>
      <sz val="9.3000000000000007"/>
      <color rgb="FF2D3748"/>
      <name val="Arial"/>
      <charset val="1"/>
    </font>
    <font>
      <b/>
      <sz val="9.3000000000000007"/>
      <color rgb="FF0000FF"/>
      <name val="Arial"/>
      <charset val="1"/>
    </font>
    <font>
      <b/>
      <sz val="9.3000000000000007"/>
      <color rgb="FF008000"/>
      <name val="Arial"/>
      <charset val="1"/>
    </font>
    <font>
      <i/>
      <sz val="8.8000000000000007"/>
      <color rgb="FF64748B"/>
      <name val="Arial"/>
      <charset val="1"/>
    </font>
    <font>
      <b/>
      <sz val="10"/>
      <color rgb="FFFFFFFF"/>
      <name val="Arial"/>
      <charset val="1"/>
    </font>
    <font>
      <b/>
      <sz val="8.5"/>
      <color rgb="FF2D3748"/>
      <name val="Arial"/>
      <charset val="1"/>
    </font>
    <font>
      <sz val="8.8000000000000007"/>
      <color rgb="FF2D3748"/>
      <name val="Arial"/>
      <charset val="1"/>
    </font>
    <font>
      <b/>
      <sz val="9"/>
      <color rgb="FF0000FF"/>
      <name val="Arial"/>
      <charset val="1"/>
    </font>
    <font>
      <b/>
      <i/>
      <sz val="9"/>
      <color rgb="FF2D3748"/>
      <name val="Arial"/>
      <charset val="1"/>
    </font>
    <font>
      <b/>
      <sz val="9"/>
      <color rgb="FF2D3748"/>
      <name val="Arial"/>
      <charset val="1"/>
    </font>
    <font>
      <i/>
      <sz val="8.5"/>
      <color rgb="FF64748B"/>
      <name val="Arial"/>
      <charset val="1"/>
    </font>
    <font>
      <sz val="9"/>
      <name val="Arial"/>
      <charset val="1"/>
    </font>
    <font>
      <sz val="9"/>
      <color rgb="FF008000"/>
      <name val="Arial"/>
      <charset val="1"/>
    </font>
    <font>
      <b/>
      <sz val="9.5"/>
      <name val="Arial"/>
      <charset val="1"/>
    </font>
    <font>
      <b/>
      <sz val="10"/>
      <name val="Arial"/>
      <charset val="1"/>
    </font>
    <font>
      <b/>
      <sz val="9.5"/>
      <color rgb="FFFFFFFF"/>
      <name val="Arial"/>
      <charset val="1"/>
    </font>
    <font>
      <b/>
      <sz val="9"/>
      <name val="Arial"/>
      <charset val="1"/>
    </font>
    <font>
      <b/>
      <sz val="9.5"/>
      <color rgb="FF0D1B2A"/>
      <name val="Arial"/>
      <charset val="1"/>
    </font>
    <font>
      <i/>
      <sz val="8.6"/>
      <color rgb="FF64748B"/>
      <name val="Arial"/>
      <charset val="1"/>
    </font>
    <font>
      <b/>
      <sz val="9"/>
      <color rgb="FFFFFFFF"/>
      <name val="Arial"/>
      <charset val="1"/>
    </font>
    <font>
      <sz val="9"/>
      <color rgb="FF2D3748"/>
      <name val="Arial"/>
      <charset val="1"/>
    </font>
    <font>
      <b/>
      <sz val="9"/>
      <color rgb="FF1E6B4A"/>
      <name val="Arial"/>
      <charset val="1"/>
    </font>
    <font>
      <sz val="8.6999999999999993"/>
      <color rgb="FF2D3748"/>
      <name val="Arial"/>
      <charset val="1"/>
    </font>
    <font>
      <i/>
      <sz val="8.6999999999999993"/>
      <color rgb="FF64748B"/>
      <name val="Arial"/>
      <charset val="1"/>
    </font>
    <font>
      <b/>
      <sz val="9"/>
      <color rgb="FF1A3C5E"/>
      <name val="Arial"/>
      <charset val="1"/>
    </font>
    <font>
      <b/>
      <sz val="9"/>
      <color rgb="FFC07A2D"/>
      <name val="Arial"/>
      <charset val="1"/>
    </font>
    <font>
      <b/>
      <sz val="9"/>
      <color rgb="FF991B1B"/>
      <name val="Arial"/>
      <charset val="1"/>
    </font>
    <font>
      <b/>
      <sz val="8.6"/>
      <color rgb="FFFFFFFF"/>
      <name val="Arial"/>
      <charset val="1"/>
    </font>
    <font>
      <sz val="8.6999999999999993"/>
      <color rgb="FF008000"/>
      <name val="Arial"/>
      <charset val="1"/>
    </font>
    <font>
      <b/>
      <sz val="8.8000000000000007"/>
      <color rgb="FF0000FF"/>
      <name val="Arial"/>
      <charset val="1"/>
    </font>
    <font>
      <sz val="8.3000000000000007"/>
      <color rgb="FF008000"/>
      <name val="Arial"/>
      <charset val="1"/>
    </font>
    <font>
      <sz val="8.8000000000000007"/>
      <color rgb="FF008000"/>
      <name val="Arial"/>
      <charset val="1"/>
    </font>
    <font>
      <sz val="8.5"/>
      <color rgb="FF0000FF"/>
      <name val="Arial"/>
      <charset val="1"/>
    </font>
    <font>
      <b/>
      <sz val="8.8000000000000007"/>
      <color rgb="FF2D3748"/>
      <name val="Arial"/>
      <charset val="1"/>
    </font>
    <font>
      <b/>
      <sz val="10"/>
      <color rgb="FF0D1B2A"/>
      <name val="Arial"/>
      <charset val="1"/>
    </font>
    <font>
      <b/>
      <i/>
      <sz val="9"/>
      <name val="Arial"/>
      <charset val="1"/>
    </font>
    <font>
      <sz val="8.8000000000000007"/>
      <name val="Arial"/>
      <charset val="1"/>
    </font>
    <font>
      <b/>
      <sz val="8.8000000000000007"/>
      <color rgb="FFFFFFFF"/>
      <name val="Arial"/>
      <charset val="1"/>
    </font>
    <font>
      <i/>
      <sz val="8.3000000000000007"/>
      <color rgb="FF0000FF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C07A2D"/>
        <bgColor rgb="FFFF6600"/>
      </patternFill>
    </fill>
    <fill>
      <patternFill patternType="solid">
        <fgColor rgb="FF1A3C5E"/>
        <bgColor rgb="FF2D3748"/>
      </patternFill>
    </fill>
    <fill>
      <patternFill patternType="solid">
        <fgColor rgb="FFFFFDE7"/>
        <bgColor rgb="FFFFFFFF"/>
      </patternFill>
    </fill>
    <fill>
      <patternFill patternType="solid">
        <fgColor rgb="FF0D6E6E"/>
        <bgColor rgb="FF1E6B4A"/>
      </patternFill>
    </fill>
    <fill>
      <patternFill patternType="solid">
        <fgColor rgb="FF6B21A8"/>
        <bgColor rgb="FF800080"/>
      </patternFill>
    </fill>
    <fill>
      <patternFill patternType="solid">
        <fgColor rgb="FF991B1B"/>
        <bgColor rgb="FF800000"/>
      </patternFill>
    </fill>
    <fill>
      <patternFill patternType="solid">
        <fgColor rgb="FFFFFFFF"/>
        <bgColor rgb="FFFFFDE7"/>
      </patternFill>
    </fill>
    <fill>
      <patternFill patternType="solid">
        <fgColor rgb="FFF7F3ED"/>
        <bgColor rgb="FFFFFDE7"/>
      </patternFill>
    </fill>
    <fill>
      <patternFill patternType="solid">
        <fgColor rgb="FF1E6B4A"/>
        <bgColor rgb="FF0D6E6E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8" fillId="7" borderId="0" xfId="0" applyFont="1" applyFill="1" applyAlignment="1">
      <alignment vertical="center" indent="1"/>
    </xf>
    <xf numFmtId="0" fontId="8" fillId="6" borderId="0" xfId="0" applyFont="1" applyFill="1" applyAlignment="1">
      <alignment vertical="center" indent="1"/>
    </xf>
    <xf numFmtId="0" fontId="12" fillId="0" borderId="0" xfId="0" applyFont="1"/>
    <xf numFmtId="0" fontId="10" fillId="0" borderId="1" xfId="0" applyFont="1" applyBorder="1" applyAlignment="1">
      <alignment vertical="center" wrapText="1"/>
    </xf>
    <xf numFmtId="0" fontId="9" fillId="0" borderId="1" xfId="0" applyFont="1" applyBorder="1"/>
    <xf numFmtId="0" fontId="8" fillId="4" borderId="0" xfId="0" applyFont="1" applyFill="1" applyAlignment="1">
      <alignment vertical="center" indent="1"/>
    </xf>
    <xf numFmtId="0" fontId="7" fillId="0" borderId="0" xfId="0" applyFont="1"/>
    <xf numFmtId="0" fontId="4" fillId="0" borderId="0" xfId="0" applyFont="1" applyAlignment="1">
      <alignment vertical="top" wrapText="1" indent="1"/>
    </xf>
    <xf numFmtId="0" fontId="6" fillId="0" borderId="0" xfId="0" applyFont="1" applyAlignment="1">
      <alignment wrapText="1" indent="1"/>
    </xf>
    <xf numFmtId="0" fontId="5" fillId="0" borderId="0" xfId="0" applyFont="1" applyAlignment="1">
      <alignment wrapText="1" indent="1"/>
    </xf>
    <xf numFmtId="0" fontId="4" fillId="0" borderId="0" xfId="0" applyFont="1" applyAlignment="1">
      <alignment wrapText="1" indent="1"/>
    </xf>
    <xf numFmtId="0" fontId="3" fillId="3" borderId="0" xfId="0" applyFont="1" applyFill="1" applyAlignment="1">
      <alignment vertical="center" indent="1"/>
    </xf>
    <xf numFmtId="0" fontId="2" fillId="0" borderId="0" xfId="0" applyFont="1" applyAlignment="1">
      <alignment vertical="top" wrapText="1" indent="1"/>
    </xf>
    <xf numFmtId="0" fontId="1" fillId="2" borderId="0" xfId="0" applyFont="1" applyFill="1" applyAlignment="1">
      <alignment horizontal="left" vertical="center" indent="1"/>
    </xf>
    <xf numFmtId="0" fontId="9" fillId="0" borderId="1" xfId="0" applyFont="1" applyBorder="1"/>
    <xf numFmtId="0" fontId="11" fillId="5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horizontal="center"/>
    </xf>
    <xf numFmtId="0" fontId="17" fillId="0" borderId="0" xfId="0" applyFont="1"/>
    <xf numFmtId="0" fontId="18" fillId="0" borderId="0" xfId="0" applyFont="1" applyAlignment="1">
      <alignment horizontal="center"/>
    </xf>
    <xf numFmtId="0" fontId="20" fillId="0" borderId="0" xfId="0" applyFont="1"/>
    <xf numFmtId="0" fontId="23" fillId="2" borderId="1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vertical="center" wrapText="1"/>
    </xf>
    <xf numFmtId="0" fontId="24" fillId="10" borderId="1" xfId="0" applyFont="1" applyFill="1" applyBorder="1" applyAlignment="1">
      <alignment vertical="center" wrapText="1"/>
    </xf>
    <xf numFmtId="0" fontId="13" fillId="10" borderId="1" xfId="0" applyFont="1" applyFill="1" applyBorder="1" applyAlignment="1">
      <alignment horizontal="center"/>
    </xf>
    <xf numFmtId="0" fontId="14" fillId="10" borderId="1" xfId="0" applyFont="1" applyFill="1" applyBorder="1" applyAlignment="1">
      <alignment vertical="center" wrapText="1"/>
    </xf>
    <xf numFmtId="0" fontId="25" fillId="0" borderId="0" xfId="0" applyFont="1"/>
    <xf numFmtId="0" fontId="29" fillId="0" borderId="0" xfId="0" applyFont="1"/>
    <xf numFmtId="0" fontId="30" fillId="0" borderId="0" xfId="0" applyFont="1"/>
    <xf numFmtId="0" fontId="31" fillId="2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vertical="center" wrapText="1"/>
    </xf>
    <xf numFmtId="0" fontId="33" fillId="5" borderId="1" xfId="0" applyFont="1" applyFill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0" fillId="0" borderId="1" xfId="0" applyBorder="1"/>
    <xf numFmtId="0" fontId="35" fillId="9" borderId="1" xfId="0" applyFont="1" applyFill="1" applyBorder="1" applyAlignment="1">
      <alignment vertical="center" wrapText="1"/>
    </xf>
    <xf numFmtId="164" fontId="33" fillId="5" borderId="1" xfId="0" applyNumberFormat="1" applyFont="1" applyFill="1" applyBorder="1"/>
    <xf numFmtId="0" fontId="36" fillId="5" borderId="1" xfId="0" applyFont="1" applyFill="1" applyBorder="1"/>
    <xf numFmtId="164" fontId="37" fillId="9" borderId="1" xfId="0" applyNumberFormat="1" applyFont="1" applyFill="1" applyBorder="1"/>
    <xf numFmtId="0" fontId="35" fillId="10" borderId="1" xfId="0" applyFont="1" applyFill="1" applyBorder="1" applyAlignment="1">
      <alignment vertical="center" wrapText="1"/>
    </xf>
    <xf numFmtId="164" fontId="37" fillId="10" borderId="1" xfId="0" applyNumberFormat="1" applyFont="1" applyFill="1" applyBorder="1"/>
    <xf numFmtId="0" fontId="20" fillId="0" borderId="0" xfId="0" applyFont="1" applyAlignment="1">
      <alignment horizontal="center"/>
    </xf>
    <xf numFmtId="164" fontId="20" fillId="0" borderId="0" xfId="0" applyNumberFormat="1" applyFont="1" applyAlignment="1">
      <alignment horizontal="center"/>
    </xf>
    <xf numFmtId="164" fontId="38" fillId="0" borderId="0" xfId="0" applyNumberFormat="1" applyFont="1" applyAlignment="1">
      <alignment horizontal="center"/>
    </xf>
    <xf numFmtId="0" fontId="39" fillId="0" borderId="0" xfId="0" applyFont="1"/>
    <xf numFmtId="0" fontId="40" fillId="0" borderId="0" xfId="0" applyFont="1"/>
    <xf numFmtId="164" fontId="40" fillId="0" borderId="0" xfId="0" applyNumberFormat="1" applyFont="1" applyAlignment="1">
      <alignment horizontal="center"/>
    </xf>
    <xf numFmtId="0" fontId="41" fillId="2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vertical="center" wrapText="1"/>
    </xf>
    <xf numFmtId="0" fontId="42" fillId="5" borderId="1" xfId="0" applyFont="1" applyFill="1" applyBorder="1" applyAlignment="1">
      <alignment horizontal="center"/>
    </xf>
    <xf numFmtId="165" fontId="33" fillId="5" borderId="1" xfId="0" applyNumberFormat="1" applyFont="1" applyFill="1" applyBorder="1" applyAlignment="1">
      <alignment horizontal="center"/>
    </xf>
    <xf numFmtId="165" fontId="37" fillId="9" borderId="1" xfId="0" applyNumberFormat="1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10" fillId="10" borderId="1" xfId="0" applyFont="1" applyFill="1" applyBorder="1" applyAlignment="1">
      <alignment vertical="center" wrapText="1"/>
    </xf>
    <xf numFmtId="1" fontId="33" fillId="5" borderId="1" xfId="0" applyNumberFormat="1" applyFont="1" applyFill="1" applyBorder="1" applyAlignment="1">
      <alignment horizontal="center"/>
    </xf>
    <xf numFmtId="165" fontId="37" fillId="10" borderId="1" xfId="0" applyNumberFormat="1" applyFont="1" applyFill="1" applyBorder="1" applyAlignment="1">
      <alignment horizontal="center"/>
    </xf>
    <xf numFmtId="3" fontId="33" fillId="5" borderId="1" xfId="0" applyNumberFormat="1" applyFont="1" applyFill="1" applyBorder="1" applyAlignment="1">
      <alignment horizontal="center"/>
    </xf>
    <xf numFmtId="166" fontId="33" fillId="5" borderId="1" xfId="0" applyNumberFormat="1" applyFont="1" applyFill="1" applyBorder="1" applyAlignment="1">
      <alignment horizontal="center"/>
    </xf>
    <xf numFmtId="0" fontId="8" fillId="3" borderId="0" xfId="0" applyFont="1" applyFill="1" applyAlignment="1">
      <alignment vertical="center" indent="1"/>
    </xf>
    <xf numFmtId="0" fontId="8" fillId="8" borderId="0" xfId="0" applyFont="1" applyFill="1" applyAlignment="1">
      <alignment vertical="center" indent="1"/>
    </xf>
    <xf numFmtId="0" fontId="3" fillId="2" borderId="0" xfId="0" applyFont="1" applyFill="1" applyAlignment="1">
      <alignment vertical="center" indent="1"/>
    </xf>
    <xf numFmtId="0" fontId="19" fillId="3" borderId="0" xfId="0" applyFont="1" applyFill="1" applyAlignment="1">
      <alignment vertical="center" indent="1"/>
    </xf>
    <xf numFmtId="0" fontId="21" fillId="0" borderId="0" xfId="0" applyFont="1" applyAlignment="1">
      <alignment wrapText="1"/>
    </xf>
    <xf numFmtId="0" fontId="22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23" fillId="11" borderId="0" xfId="0" applyFont="1" applyFill="1" applyAlignment="1">
      <alignment vertical="center" indent="1"/>
    </xf>
    <xf numFmtId="0" fontId="23" fillId="4" borderId="0" xfId="0" applyFont="1" applyFill="1" applyAlignment="1">
      <alignment vertical="center" indent="1"/>
    </xf>
    <xf numFmtId="0" fontId="23" fillId="3" borderId="0" xfId="0" applyFont="1" applyFill="1" applyAlignment="1">
      <alignment vertical="center" indent="1"/>
    </xf>
    <xf numFmtId="0" fontId="23" fillId="8" borderId="0" xfId="0" applyFont="1" applyFill="1" applyAlignment="1">
      <alignment vertical="center" indent="1"/>
    </xf>
    <xf numFmtId="0" fontId="20" fillId="0" borderId="0" xfId="0" applyFont="1"/>
    <xf numFmtId="0" fontId="38" fillId="0" borderId="0" xfId="0" applyFont="1"/>
  </cellXfs>
  <cellStyles count="1">
    <cellStyle name="Normal" xfId="0" builtinId="0"/>
  </cellStyles>
  <dxfs count="58">
    <dxf>
      <font>
        <b/>
        <color rgb="FF991B1B"/>
      </font>
      <fill>
        <patternFill>
          <bgColor rgb="FFFEE2E2"/>
        </patternFill>
      </fill>
    </dxf>
    <dxf>
      <font>
        <b/>
        <color rgb="FFC07A2D"/>
      </font>
      <fill>
        <patternFill>
          <bgColor rgb="FFFEF3C7"/>
        </patternFill>
      </fill>
    </dxf>
    <dxf>
      <font>
        <b/>
        <color rgb="FF1E6B4A"/>
      </font>
      <fill>
        <patternFill>
          <bgColor rgb="FFD1FAE5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1FAE5"/>
        </patternFill>
      </fill>
    </dxf>
    <dxf>
      <fill>
        <patternFill>
          <bgColor rgb="FF991B1B"/>
        </patternFill>
      </fill>
    </dxf>
    <dxf>
      <fill>
        <patternFill>
          <bgColor rgb="FFC07A2D"/>
        </patternFill>
      </fill>
    </dxf>
    <dxf>
      <fill>
        <patternFill>
          <bgColor rgb="FF1A3C5E"/>
        </patternFill>
      </fill>
    </dxf>
    <dxf>
      <fill>
        <patternFill>
          <bgColor rgb="FF1E6B4A"/>
        </patternFill>
      </fill>
    </dxf>
    <dxf>
      <fill>
        <patternFill>
          <bgColor rgb="FF991B1B"/>
        </patternFill>
      </fill>
    </dxf>
    <dxf>
      <fill>
        <patternFill>
          <bgColor rgb="FFC07A2D"/>
        </patternFill>
      </fill>
    </dxf>
    <dxf>
      <fill>
        <patternFill>
          <bgColor rgb="FF1A3C5E"/>
        </patternFill>
      </fill>
    </dxf>
    <dxf>
      <fill>
        <patternFill>
          <bgColor rgb="FF1E6B4A"/>
        </patternFill>
      </fill>
    </dxf>
    <dxf>
      <fill>
        <patternFill>
          <bgColor rgb="FF991B1B"/>
        </patternFill>
      </fill>
    </dxf>
    <dxf>
      <fill>
        <patternFill>
          <bgColor rgb="FFC07A2D"/>
        </patternFill>
      </fill>
    </dxf>
    <dxf>
      <fill>
        <patternFill>
          <bgColor rgb="FF1A3C5E"/>
        </patternFill>
      </fill>
    </dxf>
    <dxf>
      <fill>
        <patternFill>
          <bgColor rgb="FF1E6B4A"/>
        </patternFill>
      </fill>
    </dxf>
    <dxf>
      <fill>
        <patternFill>
          <bgColor rgb="FF991B1B"/>
        </patternFill>
      </fill>
    </dxf>
    <dxf>
      <fill>
        <patternFill>
          <bgColor rgb="FFC07A2D"/>
        </patternFill>
      </fill>
    </dxf>
    <dxf>
      <fill>
        <patternFill>
          <bgColor rgb="FF1A3C5E"/>
        </patternFill>
      </fill>
    </dxf>
    <dxf>
      <fill>
        <patternFill>
          <bgColor rgb="FF1E6B4A"/>
        </patternFill>
      </fill>
    </dxf>
    <dxf>
      <fill>
        <patternFill>
          <bgColor rgb="FF991B1B"/>
        </patternFill>
      </fill>
    </dxf>
    <dxf>
      <fill>
        <patternFill>
          <bgColor rgb="FFC07A2D"/>
        </patternFill>
      </fill>
    </dxf>
    <dxf>
      <fill>
        <patternFill>
          <bgColor rgb="FF1A3C5E"/>
        </patternFill>
      </fill>
    </dxf>
    <dxf>
      <fill>
        <patternFill>
          <bgColor rgb="FF1E6B4A"/>
        </patternFill>
      </fill>
    </dxf>
    <dxf>
      <fill>
        <patternFill>
          <bgColor rgb="FF991B1B"/>
        </patternFill>
      </fill>
    </dxf>
    <dxf>
      <fill>
        <patternFill>
          <bgColor rgb="FFC07A2D"/>
        </patternFill>
      </fill>
    </dxf>
    <dxf>
      <fill>
        <patternFill>
          <bgColor rgb="FF1A3C5E"/>
        </patternFill>
      </fill>
    </dxf>
    <dxf>
      <fill>
        <patternFill>
          <bgColor rgb="FF1E6B4A"/>
        </patternFill>
      </fill>
    </dxf>
    <dxf>
      <fill>
        <patternFill>
          <bgColor rgb="FF991B1B"/>
        </patternFill>
      </fill>
    </dxf>
    <dxf>
      <fill>
        <patternFill>
          <bgColor rgb="FFC07A2D"/>
        </patternFill>
      </fill>
    </dxf>
    <dxf>
      <fill>
        <patternFill>
          <bgColor rgb="FF1A3C5E"/>
        </patternFill>
      </fill>
    </dxf>
    <dxf>
      <fill>
        <patternFill>
          <bgColor rgb="FF1E6B4A"/>
        </patternFill>
      </fill>
    </dxf>
    <dxf>
      <fill>
        <patternFill>
          <bgColor rgb="FF991B1B"/>
        </patternFill>
      </fill>
    </dxf>
    <dxf>
      <fill>
        <patternFill>
          <bgColor rgb="FFC07A2D"/>
        </patternFill>
      </fill>
    </dxf>
    <dxf>
      <fill>
        <patternFill>
          <bgColor rgb="FF1A3C5E"/>
        </patternFill>
      </fill>
    </dxf>
    <dxf>
      <fill>
        <patternFill>
          <bgColor rgb="FF1E6B4A"/>
        </patternFill>
      </fill>
    </dxf>
    <dxf>
      <fill>
        <patternFill>
          <bgColor rgb="FF991B1B"/>
        </patternFill>
      </fill>
    </dxf>
    <dxf>
      <fill>
        <patternFill>
          <bgColor rgb="FFC07A2D"/>
        </patternFill>
      </fill>
    </dxf>
    <dxf>
      <fill>
        <patternFill>
          <bgColor rgb="FF1A3C5E"/>
        </patternFill>
      </fill>
    </dxf>
    <dxf>
      <fill>
        <patternFill>
          <bgColor rgb="FF1E6B4A"/>
        </patternFill>
      </fill>
    </dxf>
    <dxf>
      <fill>
        <patternFill>
          <bgColor rgb="FF991B1B"/>
        </patternFill>
      </fill>
    </dxf>
    <dxf>
      <fill>
        <patternFill>
          <bgColor rgb="FFC07A2D"/>
        </patternFill>
      </fill>
    </dxf>
    <dxf>
      <fill>
        <patternFill>
          <bgColor rgb="FF1A3C5E"/>
        </patternFill>
      </fill>
    </dxf>
    <dxf>
      <fill>
        <patternFill>
          <bgColor rgb="FF1E6B4A"/>
        </patternFill>
      </fill>
    </dxf>
    <dxf>
      <fill>
        <patternFill>
          <bgColor rgb="FF991B1B"/>
        </patternFill>
      </fill>
    </dxf>
    <dxf>
      <fill>
        <patternFill>
          <bgColor rgb="FFC07A2D"/>
        </patternFill>
      </fill>
    </dxf>
    <dxf>
      <fill>
        <patternFill>
          <bgColor rgb="FF1A3C5E"/>
        </patternFill>
      </fill>
    </dxf>
    <dxf>
      <fill>
        <patternFill>
          <bgColor rgb="FF1E6B4A"/>
        </patternFill>
      </fill>
    </dxf>
    <dxf>
      <fill>
        <patternFill>
          <bgColor rgb="FF991B1B"/>
        </patternFill>
      </fill>
    </dxf>
    <dxf>
      <fill>
        <patternFill>
          <bgColor rgb="FFC07A2D"/>
        </patternFill>
      </fill>
    </dxf>
    <dxf>
      <fill>
        <patternFill>
          <bgColor rgb="FF1A3C5E"/>
        </patternFill>
      </fill>
    </dxf>
    <dxf>
      <fill>
        <patternFill>
          <bgColor rgb="FF1E6B4A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C07A2D"/>
      </font>
      <fill>
        <patternFill>
          <bgColor rgb="FFFEF3C7"/>
        </patternFill>
      </fill>
    </dxf>
    <dxf>
      <font>
        <b/>
        <color rgb="FF1A3C5E"/>
      </font>
      <fill>
        <patternFill>
          <bgColor rgb="FFDBEAFE"/>
        </patternFill>
      </fill>
    </dxf>
    <dxf>
      <font>
        <b/>
        <color rgb="FF1E6B4A"/>
      </font>
      <fill>
        <patternFill>
          <bgColor rgb="FFD1FAE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07A2D"/>
      <rgbColor rgb="FF6B21A8"/>
      <rgbColor rgb="FF0D6E6E"/>
      <rgbColor rgb="FFC0C0C0"/>
      <rgbColor rgb="FF808080"/>
      <rgbColor rgb="FF9999FF"/>
      <rgbColor rgb="FF993366"/>
      <rgbColor rgb="FFFFFDE7"/>
      <rgbColor rgb="FFDBEAFE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1E6B4A"/>
      <rgbColor rgb="FF0000FF"/>
      <rgbColor rgb="FF00CCFF"/>
      <rgbColor rgb="FFF7F3ED"/>
      <rgbColor rgb="FFD1FAE5"/>
      <rgbColor rgb="FFFEF3C7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A3C5E"/>
      <rgbColor rgb="FF339966"/>
      <rgbColor rgb="FF0D1B2A"/>
      <rgbColor rgb="FF333300"/>
      <rgbColor rgb="FF991B1B"/>
      <rgbColor rgb="FF993366"/>
      <rgbColor rgb="FF333399"/>
      <rgbColor rgb="FF2D37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showGridLines="0" tabSelected="1" zoomScaleNormal="100" workbookViewId="0">
      <selection sqref="A1:H1"/>
    </sheetView>
  </sheetViews>
  <sheetFormatPr defaultColWidth="8.7109375" defaultRowHeight="15" x14ac:dyDescent="0.25"/>
  <cols>
    <col min="1" max="1" width="100" customWidth="1"/>
    <col min="2" max="8" width="4" customWidth="1"/>
  </cols>
  <sheetData>
    <row r="1" spans="1:8" ht="18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8" ht="22.35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</row>
    <row r="4" spans="1:8" x14ac:dyDescent="0.25">
      <c r="A4" s="12" t="s">
        <v>2</v>
      </c>
      <c r="B4" s="12"/>
      <c r="C4" s="12"/>
      <c r="D4" s="12"/>
      <c r="E4" s="12"/>
      <c r="F4" s="12"/>
      <c r="G4" s="12"/>
      <c r="H4" s="12"/>
    </row>
    <row r="5" spans="1:8" ht="15" customHeight="1" x14ac:dyDescent="0.25">
      <c r="A5" s="11" t="s">
        <v>3</v>
      </c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1" t="s">
        <v>4</v>
      </c>
      <c r="B6" s="11"/>
      <c r="C6" s="11"/>
      <c r="D6" s="11"/>
      <c r="E6" s="11"/>
      <c r="F6" s="11"/>
      <c r="G6" s="11"/>
      <c r="H6" s="11"/>
    </row>
    <row r="7" spans="1:8" ht="15" customHeight="1" x14ac:dyDescent="0.25">
      <c r="A7" s="11" t="s">
        <v>5</v>
      </c>
      <c r="B7" s="11"/>
      <c r="C7" s="11"/>
      <c r="D7" s="11"/>
      <c r="E7" s="11"/>
      <c r="F7" s="11"/>
      <c r="G7" s="11"/>
      <c r="H7" s="11"/>
    </row>
    <row r="8" spans="1:8" ht="15" customHeight="1" x14ac:dyDescent="0.25">
      <c r="A8" s="11" t="s">
        <v>6</v>
      </c>
      <c r="B8" s="11"/>
      <c r="C8" s="11"/>
      <c r="D8" s="11"/>
      <c r="E8" s="11"/>
      <c r="F8" s="11"/>
      <c r="G8" s="11"/>
      <c r="H8" s="11"/>
    </row>
    <row r="9" spans="1:8" ht="15" customHeight="1" x14ac:dyDescent="0.25">
      <c r="A9" s="11" t="s">
        <v>7</v>
      </c>
      <c r="B9" s="11"/>
      <c r="C9" s="11"/>
      <c r="D9" s="11"/>
      <c r="E9" s="11"/>
      <c r="F9" s="11"/>
      <c r="G9" s="11"/>
      <c r="H9" s="11"/>
    </row>
    <row r="11" spans="1:8" x14ac:dyDescent="0.25">
      <c r="A11" s="12" t="s">
        <v>8</v>
      </c>
      <c r="B11" s="12"/>
      <c r="C11" s="12"/>
      <c r="D11" s="12"/>
      <c r="E11" s="12"/>
      <c r="F11" s="12"/>
      <c r="G11" s="12"/>
      <c r="H11" s="12"/>
    </row>
    <row r="12" spans="1:8" ht="15" customHeight="1" x14ac:dyDescent="0.25">
      <c r="A12" s="10" t="s">
        <v>9</v>
      </c>
      <c r="B12" s="10"/>
      <c r="C12" s="10"/>
      <c r="D12" s="10"/>
      <c r="E12" s="10"/>
      <c r="F12" s="10"/>
      <c r="G12" s="10"/>
      <c r="H12" s="10"/>
    </row>
    <row r="13" spans="1:8" ht="15" customHeight="1" x14ac:dyDescent="0.25">
      <c r="A13" s="11" t="s">
        <v>10</v>
      </c>
      <c r="B13" s="11"/>
      <c r="C13" s="11"/>
      <c r="D13" s="11"/>
      <c r="E13" s="11"/>
      <c r="F13" s="11"/>
      <c r="G13" s="11"/>
      <c r="H13" s="11"/>
    </row>
    <row r="14" spans="1:8" ht="15" customHeight="1" x14ac:dyDescent="0.25">
      <c r="A14" s="9" t="s">
        <v>11</v>
      </c>
      <c r="B14" s="9"/>
      <c r="C14" s="9"/>
      <c r="D14" s="9"/>
      <c r="E14" s="9"/>
      <c r="F14" s="9"/>
      <c r="G14" s="9"/>
      <c r="H14" s="9"/>
    </row>
    <row r="15" spans="1:8" ht="15" customHeight="1" x14ac:dyDescent="0.25">
      <c r="A15" s="11" t="s">
        <v>12</v>
      </c>
      <c r="B15" s="11"/>
      <c r="C15" s="11"/>
      <c r="D15" s="11"/>
      <c r="E15" s="11"/>
      <c r="F15" s="11"/>
      <c r="G15" s="11"/>
      <c r="H15" s="11"/>
    </row>
    <row r="17" spans="1:8" x14ac:dyDescent="0.25">
      <c r="A17" s="12" t="s">
        <v>13</v>
      </c>
      <c r="B17" s="12"/>
      <c r="C17" s="12"/>
      <c r="D17" s="12"/>
      <c r="E17" s="12"/>
      <c r="F17" s="12"/>
      <c r="G17" s="12"/>
      <c r="H17" s="12"/>
    </row>
    <row r="18" spans="1:8" ht="15" customHeight="1" x14ac:dyDescent="0.25">
      <c r="A18" s="8" t="s">
        <v>14</v>
      </c>
      <c r="B18" s="8"/>
      <c r="C18" s="8"/>
      <c r="D18" s="8"/>
      <c r="E18" s="8"/>
      <c r="F18" s="8"/>
      <c r="G18" s="8"/>
      <c r="H18" s="8"/>
    </row>
    <row r="19" spans="1:8" ht="15" customHeight="1" x14ac:dyDescent="0.25">
      <c r="A19" s="8" t="s">
        <v>15</v>
      </c>
      <c r="B19" s="8"/>
      <c r="C19" s="8"/>
      <c r="D19" s="8"/>
      <c r="E19" s="8"/>
      <c r="F19" s="8"/>
      <c r="G19" s="8"/>
      <c r="H19" s="8"/>
    </row>
    <row r="20" spans="1:8" ht="15" customHeight="1" x14ac:dyDescent="0.25">
      <c r="A20" s="8" t="s">
        <v>16</v>
      </c>
      <c r="B20" s="8"/>
      <c r="C20" s="8"/>
      <c r="D20" s="8"/>
      <c r="E20" s="8"/>
      <c r="F20" s="8"/>
      <c r="G20" s="8"/>
      <c r="H20" s="8"/>
    </row>
    <row r="21" spans="1:8" ht="15" customHeight="1" x14ac:dyDescent="0.25">
      <c r="A21" s="8" t="s">
        <v>17</v>
      </c>
      <c r="B21" s="8"/>
      <c r="C21" s="8"/>
      <c r="D21" s="8"/>
      <c r="E21" s="8"/>
      <c r="F21" s="8"/>
      <c r="G21" s="8"/>
      <c r="H21" s="8"/>
    </row>
    <row r="22" spans="1:8" ht="15" customHeight="1" x14ac:dyDescent="0.25">
      <c r="A22" s="8" t="s">
        <v>18</v>
      </c>
      <c r="B22" s="8"/>
      <c r="C22" s="8"/>
      <c r="D22" s="8"/>
      <c r="E22" s="8"/>
      <c r="F22" s="8"/>
      <c r="G22" s="8"/>
      <c r="H22" s="8"/>
    </row>
    <row r="24" spans="1:8" x14ac:dyDescent="0.25">
      <c r="A24" s="12" t="s">
        <v>19</v>
      </c>
      <c r="B24" s="12"/>
      <c r="C24" s="12"/>
      <c r="D24" s="12"/>
      <c r="E24" s="12"/>
      <c r="F24" s="12"/>
      <c r="G24" s="12"/>
      <c r="H24" s="12"/>
    </row>
    <row r="25" spans="1:8" ht="15" customHeight="1" x14ac:dyDescent="0.25">
      <c r="A25" s="8" t="s">
        <v>20</v>
      </c>
      <c r="B25" s="8"/>
      <c r="C25" s="8"/>
      <c r="D25" s="8"/>
      <c r="E25" s="8"/>
      <c r="F25" s="8"/>
      <c r="G25" s="8"/>
      <c r="H25" s="8"/>
    </row>
    <row r="27" spans="1:8" ht="15" customHeight="1" x14ac:dyDescent="0.25">
      <c r="A27" s="8" t="s">
        <v>21</v>
      </c>
      <c r="B27" s="8"/>
      <c r="C27" s="8"/>
      <c r="D27" s="8"/>
      <c r="E27" s="8"/>
      <c r="F27" s="8"/>
      <c r="G27" s="8"/>
      <c r="H27" s="8"/>
    </row>
  </sheetData>
  <mergeCells count="22">
    <mergeCell ref="A25:H25"/>
    <mergeCell ref="A27:H27"/>
    <mergeCell ref="A19:H19"/>
    <mergeCell ref="A20:H20"/>
    <mergeCell ref="A21:H21"/>
    <mergeCell ref="A22:H22"/>
    <mergeCell ref="A24:H24"/>
    <mergeCell ref="A13:H13"/>
    <mergeCell ref="A14:H14"/>
    <mergeCell ref="A15:H15"/>
    <mergeCell ref="A17:H17"/>
    <mergeCell ref="A18:H18"/>
    <mergeCell ref="A7:H7"/>
    <mergeCell ref="A8:H8"/>
    <mergeCell ref="A9:H9"/>
    <mergeCell ref="A11:H11"/>
    <mergeCell ref="A12:H12"/>
    <mergeCell ref="A1:H1"/>
    <mergeCell ref="A2:H2"/>
    <mergeCell ref="A4:H4"/>
    <mergeCell ref="A5:H5"/>
    <mergeCell ref="A6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"/>
  <sheetViews>
    <sheetView showGridLines="0" topLeftCell="A12" zoomScaleNormal="100" workbookViewId="0">
      <selection sqref="A1:E1"/>
    </sheetView>
  </sheetViews>
  <sheetFormatPr defaultColWidth="8.7109375" defaultRowHeight="15" x14ac:dyDescent="0.25"/>
  <cols>
    <col min="1" max="2" width="46" customWidth="1"/>
    <col min="3" max="5" width="12" customWidth="1"/>
  </cols>
  <sheetData>
    <row r="1" spans="1:5" ht="18" x14ac:dyDescent="0.25">
      <c r="A1" s="14" t="s">
        <v>22</v>
      </c>
      <c r="B1" s="14"/>
      <c r="C1" s="14"/>
      <c r="D1" s="14"/>
      <c r="E1" s="14"/>
    </row>
    <row r="2" spans="1:5" x14ac:dyDescent="0.25">
      <c r="A2" s="7" t="s">
        <v>23</v>
      </c>
      <c r="B2" s="7"/>
      <c r="C2" s="7"/>
      <c r="D2" s="7"/>
      <c r="E2" s="7"/>
    </row>
    <row r="4" spans="1:5" x14ac:dyDescent="0.25">
      <c r="A4" s="6" t="s">
        <v>24</v>
      </c>
      <c r="B4" s="6"/>
      <c r="C4" s="6"/>
      <c r="D4" s="6"/>
      <c r="E4" s="6"/>
    </row>
    <row r="5" spans="1:5" x14ac:dyDescent="0.25">
      <c r="A5" s="5" t="s">
        <v>25</v>
      </c>
      <c r="B5" s="5"/>
      <c r="C5" s="15" t="s">
        <v>26</v>
      </c>
    </row>
    <row r="6" spans="1:5" ht="27.75" customHeight="1" x14ac:dyDescent="0.25">
      <c r="A6" s="4" t="s">
        <v>27</v>
      </c>
      <c r="B6" s="4"/>
      <c r="C6" s="16">
        <v>3</v>
      </c>
    </row>
    <row r="7" spans="1:5" ht="27.75" customHeight="1" x14ac:dyDescent="0.25">
      <c r="A7" s="4" t="s">
        <v>28</v>
      </c>
      <c r="B7" s="4"/>
      <c r="C7" s="16">
        <v>3</v>
      </c>
    </row>
    <row r="8" spans="1:5" ht="27.75" customHeight="1" x14ac:dyDescent="0.25">
      <c r="A8" s="4" t="s">
        <v>29</v>
      </c>
      <c r="B8" s="4"/>
      <c r="C8" s="16">
        <v>3</v>
      </c>
    </row>
    <row r="9" spans="1:5" ht="27.75" customHeight="1" x14ac:dyDescent="0.25">
      <c r="A9" s="4" t="s">
        <v>30</v>
      </c>
      <c r="B9" s="4"/>
      <c r="C9" s="16">
        <v>3</v>
      </c>
    </row>
    <row r="10" spans="1:5" x14ac:dyDescent="0.25">
      <c r="A10" s="3" t="s">
        <v>31</v>
      </c>
      <c r="B10" s="3"/>
      <c r="C10" s="17">
        <f>SUM(C6:C9)</f>
        <v>12</v>
      </c>
      <c r="D10" s="18" t="s">
        <v>32</v>
      </c>
    </row>
    <row r="12" spans="1:5" x14ac:dyDescent="0.25">
      <c r="A12" s="2" t="s">
        <v>33</v>
      </c>
      <c r="B12" s="2"/>
      <c r="C12" s="2"/>
      <c r="D12" s="2"/>
      <c r="E12" s="2"/>
    </row>
    <row r="13" spans="1:5" x14ac:dyDescent="0.25">
      <c r="A13" s="5" t="s">
        <v>25</v>
      </c>
      <c r="B13" s="5"/>
      <c r="C13" s="15" t="s">
        <v>26</v>
      </c>
    </row>
    <row r="14" spans="1:5" ht="27.75" customHeight="1" x14ac:dyDescent="0.25">
      <c r="A14" s="4" t="s">
        <v>34</v>
      </c>
      <c r="B14" s="4"/>
      <c r="C14" s="16">
        <v>3</v>
      </c>
    </row>
    <row r="15" spans="1:5" ht="27.75" customHeight="1" x14ac:dyDescent="0.25">
      <c r="A15" s="4" t="s">
        <v>35</v>
      </c>
      <c r="B15" s="4"/>
      <c r="C15" s="16">
        <v>3</v>
      </c>
    </row>
    <row r="16" spans="1:5" ht="27.75" customHeight="1" x14ac:dyDescent="0.25">
      <c r="A16" s="4" t="s">
        <v>36</v>
      </c>
      <c r="B16" s="4"/>
      <c r="C16" s="16">
        <v>3</v>
      </c>
    </row>
    <row r="17" spans="1:5" ht="27.75" customHeight="1" x14ac:dyDescent="0.25">
      <c r="A17" s="4" t="s">
        <v>37</v>
      </c>
      <c r="B17" s="4"/>
      <c r="C17" s="16">
        <v>3</v>
      </c>
    </row>
    <row r="18" spans="1:5" x14ac:dyDescent="0.25">
      <c r="A18" s="3" t="s">
        <v>38</v>
      </c>
      <c r="B18" s="3"/>
      <c r="C18" s="17">
        <f>SUM(C14:C17)</f>
        <v>12</v>
      </c>
      <c r="D18" s="18" t="s">
        <v>32</v>
      </c>
    </row>
    <row r="20" spans="1:5" x14ac:dyDescent="0.25">
      <c r="A20" s="1" t="s">
        <v>39</v>
      </c>
      <c r="B20" s="1"/>
      <c r="C20" s="1"/>
      <c r="D20" s="1"/>
      <c r="E20" s="1"/>
    </row>
    <row r="21" spans="1:5" x14ac:dyDescent="0.25">
      <c r="A21" s="5" t="s">
        <v>25</v>
      </c>
      <c r="B21" s="5"/>
      <c r="C21" s="15" t="s">
        <v>26</v>
      </c>
    </row>
    <row r="22" spans="1:5" ht="27.75" customHeight="1" x14ac:dyDescent="0.25">
      <c r="A22" s="4" t="s">
        <v>40</v>
      </c>
      <c r="B22" s="4"/>
      <c r="C22" s="16">
        <v>3</v>
      </c>
    </row>
    <row r="23" spans="1:5" ht="27.75" customHeight="1" x14ac:dyDescent="0.25">
      <c r="A23" s="4" t="s">
        <v>41</v>
      </c>
      <c r="B23" s="4"/>
      <c r="C23" s="16">
        <v>3</v>
      </c>
    </row>
    <row r="24" spans="1:5" ht="27.75" customHeight="1" x14ac:dyDescent="0.25">
      <c r="A24" s="4" t="s">
        <v>42</v>
      </c>
      <c r="B24" s="4"/>
      <c r="C24" s="16">
        <v>3</v>
      </c>
    </row>
    <row r="25" spans="1:5" ht="27.75" customHeight="1" x14ac:dyDescent="0.25">
      <c r="A25" s="4" t="s">
        <v>43</v>
      </c>
      <c r="B25" s="4"/>
      <c r="C25" s="16">
        <v>3</v>
      </c>
    </row>
    <row r="26" spans="1:5" x14ac:dyDescent="0.25">
      <c r="A26" s="3" t="s">
        <v>44</v>
      </c>
      <c r="B26" s="3"/>
      <c r="C26" s="17">
        <f>SUM(C22:C25)</f>
        <v>12</v>
      </c>
      <c r="D26" s="18" t="s">
        <v>32</v>
      </c>
    </row>
    <row r="28" spans="1:5" x14ac:dyDescent="0.25">
      <c r="A28" s="63" t="s">
        <v>45</v>
      </c>
      <c r="B28" s="63"/>
      <c r="C28" s="63"/>
      <c r="D28" s="63"/>
      <c r="E28" s="63"/>
    </row>
    <row r="29" spans="1:5" x14ac:dyDescent="0.25">
      <c r="A29" s="5" t="s">
        <v>25</v>
      </c>
      <c r="B29" s="5"/>
      <c r="C29" s="15" t="s">
        <v>26</v>
      </c>
    </row>
    <row r="30" spans="1:5" ht="27.75" customHeight="1" x14ac:dyDescent="0.25">
      <c r="A30" s="4" t="s">
        <v>46</v>
      </c>
      <c r="B30" s="4"/>
      <c r="C30" s="16">
        <v>3</v>
      </c>
    </row>
    <row r="31" spans="1:5" ht="27.75" customHeight="1" x14ac:dyDescent="0.25">
      <c r="A31" s="4" t="s">
        <v>47</v>
      </c>
      <c r="B31" s="4"/>
      <c r="C31" s="16">
        <v>3</v>
      </c>
    </row>
    <row r="32" spans="1:5" ht="27.75" customHeight="1" x14ac:dyDescent="0.25">
      <c r="A32" s="4" t="s">
        <v>48</v>
      </c>
      <c r="B32" s="4"/>
      <c r="C32" s="16">
        <v>3</v>
      </c>
    </row>
    <row r="33" spans="1:5" ht="27.75" customHeight="1" x14ac:dyDescent="0.25">
      <c r="A33" s="4" t="s">
        <v>49</v>
      </c>
      <c r="B33" s="4"/>
      <c r="C33" s="16">
        <v>3</v>
      </c>
    </row>
    <row r="34" spans="1:5" x14ac:dyDescent="0.25">
      <c r="A34" s="3" t="s">
        <v>50</v>
      </c>
      <c r="B34" s="3"/>
      <c r="C34" s="17">
        <f>SUM(C30:C33)</f>
        <v>12</v>
      </c>
      <c r="D34" s="18" t="s">
        <v>32</v>
      </c>
    </row>
    <row r="36" spans="1:5" x14ac:dyDescent="0.25">
      <c r="A36" s="64" t="s">
        <v>51</v>
      </c>
      <c r="B36" s="64"/>
      <c r="C36" s="64"/>
      <c r="D36" s="64"/>
      <c r="E36" s="64"/>
    </row>
    <row r="37" spans="1:5" x14ac:dyDescent="0.25">
      <c r="A37" s="5" t="s">
        <v>25</v>
      </c>
      <c r="B37" s="5"/>
      <c r="C37" s="15" t="s">
        <v>26</v>
      </c>
    </row>
    <row r="38" spans="1:5" ht="27.75" customHeight="1" x14ac:dyDescent="0.25">
      <c r="A38" s="4" t="s">
        <v>52</v>
      </c>
      <c r="B38" s="4"/>
      <c r="C38" s="16">
        <v>3</v>
      </c>
    </row>
    <row r="39" spans="1:5" ht="27.75" customHeight="1" x14ac:dyDescent="0.25">
      <c r="A39" s="4" t="s">
        <v>53</v>
      </c>
      <c r="B39" s="4"/>
      <c r="C39" s="16">
        <v>3</v>
      </c>
    </row>
    <row r="40" spans="1:5" ht="27.75" customHeight="1" x14ac:dyDescent="0.25">
      <c r="A40" s="4" t="s">
        <v>54</v>
      </c>
      <c r="B40" s="4"/>
      <c r="C40" s="16">
        <v>3</v>
      </c>
    </row>
    <row r="41" spans="1:5" ht="27.75" customHeight="1" x14ac:dyDescent="0.25">
      <c r="A41" s="4" t="s">
        <v>55</v>
      </c>
      <c r="B41" s="4"/>
      <c r="C41" s="16">
        <v>3</v>
      </c>
    </row>
    <row r="42" spans="1:5" x14ac:dyDescent="0.25">
      <c r="A42" s="3" t="s">
        <v>56</v>
      </c>
      <c r="B42" s="3"/>
      <c r="C42" s="17">
        <f>SUM(C38:C41)</f>
        <v>12</v>
      </c>
      <c r="D42" s="18" t="s">
        <v>32</v>
      </c>
    </row>
    <row r="44" spans="1:5" x14ac:dyDescent="0.25">
      <c r="A44" s="65" t="s">
        <v>57</v>
      </c>
      <c r="B44" s="65"/>
      <c r="C44" s="65"/>
      <c r="D44" s="65"/>
      <c r="E44" s="65"/>
    </row>
    <row r="45" spans="1:5" x14ac:dyDescent="0.25">
      <c r="A45" s="19" t="s">
        <v>24</v>
      </c>
      <c r="C45" s="20">
        <f>C10</f>
        <v>12</v>
      </c>
      <c r="D45" s="18" t="s">
        <v>32</v>
      </c>
    </row>
    <row r="46" spans="1:5" x14ac:dyDescent="0.25">
      <c r="A46" s="19" t="s">
        <v>33</v>
      </c>
      <c r="C46" s="20">
        <f>C18</f>
        <v>12</v>
      </c>
      <c r="D46" s="18" t="s">
        <v>32</v>
      </c>
    </row>
    <row r="47" spans="1:5" x14ac:dyDescent="0.25">
      <c r="A47" s="19" t="s">
        <v>39</v>
      </c>
      <c r="C47" s="20">
        <f>C26</f>
        <v>12</v>
      </c>
      <c r="D47" s="18" t="s">
        <v>32</v>
      </c>
    </row>
    <row r="48" spans="1:5" x14ac:dyDescent="0.25">
      <c r="A48" s="19" t="s">
        <v>45</v>
      </c>
      <c r="C48" s="20">
        <f>C34</f>
        <v>12</v>
      </c>
      <c r="D48" s="18" t="s">
        <v>32</v>
      </c>
    </row>
    <row r="49" spans="1:5" x14ac:dyDescent="0.25">
      <c r="A49" s="19" t="s">
        <v>51</v>
      </c>
      <c r="C49" s="20">
        <f>C42</f>
        <v>12</v>
      </c>
      <c r="D49" s="18" t="s">
        <v>32</v>
      </c>
    </row>
    <row r="50" spans="1:5" x14ac:dyDescent="0.25">
      <c r="A50" s="21" t="s">
        <v>58</v>
      </c>
      <c r="C50" s="22">
        <f>SUM(C10,C18,C26,C34,C42)</f>
        <v>60</v>
      </c>
      <c r="D50" s="18" t="s">
        <v>59</v>
      </c>
    </row>
    <row r="52" spans="1:5" x14ac:dyDescent="0.25">
      <c r="A52" s="66" t="s">
        <v>60</v>
      </c>
      <c r="B52" s="66"/>
      <c r="C52" s="66"/>
      <c r="D52" s="66"/>
      <c r="E52" s="66"/>
    </row>
    <row r="53" spans="1:5" ht="30" customHeight="1" x14ac:dyDescent="0.25">
      <c r="A53" s="23" t="s">
        <v>61</v>
      </c>
      <c r="C53" s="67" t="str">
        <f>IF(C50&gt;=80,"Advanced — optimise and scale what already works",IF(C50&gt;=60,"Developing — solid foundations, clear gaps to close",IF(C50&gt;=40,"Emerging — early digital steps, most work still manual","Foundational — largely manual, high near-term opportunity")))</f>
        <v>Developing — solid foundations, clear gaps to close</v>
      </c>
      <c r="D53" s="67"/>
      <c r="E53" s="67"/>
    </row>
  </sheetData>
  <mergeCells count="40">
    <mergeCell ref="A41:B41"/>
    <mergeCell ref="A42:B42"/>
    <mergeCell ref="A44:E44"/>
    <mergeCell ref="A52:E52"/>
    <mergeCell ref="C53:E53"/>
    <mergeCell ref="A36:E36"/>
    <mergeCell ref="A37:B37"/>
    <mergeCell ref="A38:B38"/>
    <mergeCell ref="A39:B39"/>
    <mergeCell ref="A40:B40"/>
    <mergeCell ref="A30:B30"/>
    <mergeCell ref="A31:B31"/>
    <mergeCell ref="A32:B32"/>
    <mergeCell ref="A33:B33"/>
    <mergeCell ref="A34:B34"/>
    <mergeCell ref="A24:B24"/>
    <mergeCell ref="A25:B25"/>
    <mergeCell ref="A26:B26"/>
    <mergeCell ref="A28:E28"/>
    <mergeCell ref="A29:B29"/>
    <mergeCell ref="A18:B18"/>
    <mergeCell ref="A20:E20"/>
    <mergeCell ref="A21:B21"/>
    <mergeCell ref="A22:B22"/>
    <mergeCell ref="A23:B23"/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2:E12"/>
    <mergeCell ref="A1:E1"/>
    <mergeCell ref="A2:E2"/>
    <mergeCell ref="A4:E4"/>
    <mergeCell ref="A5:B5"/>
    <mergeCell ref="A6:B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showGridLines="0" zoomScaleNormal="100" workbookViewId="0">
      <pane ySplit="4" topLeftCell="A5" activePane="bottomLeft" state="frozen"/>
      <selection pane="bottomLeft" sqref="A1:F1"/>
    </sheetView>
  </sheetViews>
  <sheetFormatPr defaultColWidth="8.7109375" defaultRowHeight="15" x14ac:dyDescent="0.25"/>
  <cols>
    <col min="1" max="1" width="40" customWidth="1"/>
    <col min="2" max="3" width="12" customWidth="1"/>
    <col min="4" max="4" width="14" customWidth="1"/>
    <col min="5" max="5" width="18" customWidth="1"/>
    <col min="6" max="6" width="22" customWidth="1"/>
  </cols>
  <sheetData>
    <row r="1" spans="1:6" ht="18" x14ac:dyDescent="0.25">
      <c r="A1" s="14" t="s">
        <v>62</v>
      </c>
      <c r="B1" s="14"/>
      <c r="C1" s="14"/>
      <c r="D1" s="14"/>
      <c r="E1" s="14"/>
      <c r="F1" s="14"/>
    </row>
    <row r="2" spans="1:6" x14ac:dyDescent="0.25">
      <c r="A2" s="68" t="s">
        <v>63</v>
      </c>
      <c r="B2" s="68"/>
      <c r="C2" s="68"/>
      <c r="D2" s="68"/>
      <c r="E2" s="68"/>
      <c r="F2" s="68"/>
    </row>
    <row r="4" spans="1:6" ht="24" x14ac:dyDescent="0.25">
      <c r="A4" s="24" t="s">
        <v>64</v>
      </c>
      <c r="B4" s="24" t="s">
        <v>65</v>
      </c>
      <c r="C4" s="24" t="s">
        <v>66</v>
      </c>
      <c r="D4" s="24" t="s">
        <v>67</v>
      </c>
      <c r="E4" s="24" t="s">
        <v>68</v>
      </c>
      <c r="F4" s="24" t="s">
        <v>69</v>
      </c>
    </row>
    <row r="5" spans="1:6" ht="27.75" customHeight="1" x14ac:dyDescent="0.25">
      <c r="A5" s="25" t="s">
        <v>70</v>
      </c>
      <c r="B5" s="26">
        <v>4</v>
      </c>
      <c r="C5" s="26">
        <v>2</v>
      </c>
      <c r="D5" s="27">
        <f t="shared" ref="D5:D19" si="0">B5*2-C5</f>
        <v>6</v>
      </c>
      <c r="E5" s="27" t="str">
        <f t="shared" ref="E5:E19" si="1">IF(AND(B5&gt;=4,C5&lt;=2),"Quick Win",IF(AND(B5&gt;=4,C5&gt;=3),"Major Project",IF(AND(B5&lt;=3,C5&lt;=2),"Fill-In","Deprioritise")))</f>
        <v>Quick Win</v>
      </c>
      <c r="F5" s="28" t="s">
        <v>71</v>
      </c>
    </row>
    <row r="6" spans="1:6" ht="27.75" customHeight="1" x14ac:dyDescent="0.25">
      <c r="A6" s="29" t="s">
        <v>72</v>
      </c>
      <c r="B6" s="26">
        <v>4</v>
      </c>
      <c r="C6" s="26">
        <v>3</v>
      </c>
      <c r="D6" s="30">
        <f t="shared" si="0"/>
        <v>5</v>
      </c>
      <c r="E6" s="30" t="str">
        <f t="shared" si="1"/>
        <v>Major Project</v>
      </c>
      <c r="F6" s="31" t="s">
        <v>73</v>
      </c>
    </row>
    <row r="7" spans="1:6" ht="27.75" customHeight="1" x14ac:dyDescent="0.25">
      <c r="A7" s="25" t="s">
        <v>74</v>
      </c>
      <c r="B7" s="26">
        <v>3</v>
      </c>
      <c r="C7" s="26">
        <v>2</v>
      </c>
      <c r="D7" s="27">
        <f t="shared" si="0"/>
        <v>4</v>
      </c>
      <c r="E7" s="27" t="str">
        <f t="shared" si="1"/>
        <v>Fill-In</v>
      </c>
      <c r="F7" s="28" t="s">
        <v>75</v>
      </c>
    </row>
    <row r="8" spans="1:6" ht="27.75" customHeight="1" x14ac:dyDescent="0.25">
      <c r="A8" s="29" t="s">
        <v>76</v>
      </c>
      <c r="B8" s="26">
        <v>4</v>
      </c>
      <c r="C8" s="26">
        <v>2</v>
      </c>
      <c r="D8" s="30">
        <f t="shared" si="0"/>
        <v>6</v>
      </c>
      <c r="E8" s="30" t="str">
        <f t="shared" si="1"/>
        <v>Quick Win</v>
      </c>
      <c r="F8" s="31" t="s">
        <v>77</v>
      </c>
    </row>
    <row r="9" spans="1:6" ht="27.75" customHeight="1" x14ac:dyDescent="0.25">
      <c r="A9" s="25" t="s">
        <v>78</v>
      </c>
      <c r="B9" s="26">
        <v>5</v>
      </c>
      <c r="C9" s="26">
        <v>4</v>
      </c>
      <c r="D9" s="27">
        <f t="shared" si="0"/>
        <v>6</v>
      </c>
      <c r="E9" s="27" t="str">
        <f t="shared" si="1"/>
        <v>Major Project</v>
      </c>
      <c r="F9" s="28" t="s">
        <v>79</v>
      </c>
    </row>
    <row r="10" spans="1:6" ht="27.75" customHeight="1" x14ac:dyDescent="0.25">
      <c r="A10" s="29" t="s">
        <v>80</v>
      </c>
      <c r="B10" s="26">
        <v>4</v>
      </c>
      <c r="C10" s="26">
        <v>3</v>
      </c>
      <c r="D10" s="30">
        <f t="shared" si="0"/>
        <v>5</v>
      </c>
      <c r="E10" s="30" t="str">
        <f t="shared" si="1"/>
        <v>Major Project</v>
      </c>
      <c r="F10" s="31" t="s">
        <v>81</v>
      </c>
    </row>
    <row r="11" spans="1:6" ht="27.75" customHeight="1" x14ac:dyDescent="0.25">
      <c r="A11" s="25" t="s">
        <v>82</v>
      </c>
      <c r="B11" s="26">
        <v>3</v>
      </c>
      <c r="C11" s="26">
        <v>3</v>
      </c>
      <c r="D11" s="27">
        <f t="shared" si="0"/>
        <v>3</v>
      </c>
      <c r="E11" s="27" t="str">
        <f t="shared" si="1"/>
        <v>Deprioritise</v>
      </c>
      <c r="F11" s="28" t="s">
        <v>83</v>
      </c>
    </row>
    <row r="12" spans="1:6" ht="27.75" customHeight="1" x14ac:dyDescent="0.25">
      <c r="A12" s="29" t="s">
        <v>84</v>
      </c>
      <c r="B12" s="26">
        <v>4</v>
      </c>
      <c r="C12" s="26">
        <v>4</v>
      </c>
      <c r="D12" s="30">
        <f t="shared" si="0"/>
        <v>4</v>
      </c>
      <c r="E12" s="30" t="str">
        <f t="shared" si="1"/>
        <v>Major Project</v>
      </c>
      <c r="F12" s="31" t="s">
        <v>85</v>
      </c>
    </row>
    <row r="13" spans="1:6" ht="27.75" customHeight="1" x14ac:dyDescent="0.25">
      <c r="A13" s="25" t="s">
        <v>86</v>
      </c>
      <c r="B13" s="26">
        <v>5</v>
      </c>
      <c r="C13" s="26">
        <v>5</v>
      </c>
      <c r="D13" s="27">
        <f t="shared" si="0"/>
        <v>5</v>
      </c>
      <c r="E13" s="27" t="str">
        <f t="shared" si="1"/>
        <v>Major Project</v>
      </c>
      <c r="F13" s="28" t="s">
        <v>87</v>
      </c>
    </row>
    <row r="14" spans="1:6" ht="27.75" customHeight="1" x14ac:dyDescent="0.25">
      <c r="A14" s="29" t="s">
        <v>88</v>
      </c>
      <c r="B14" s="26">
        <v>3</v>
      </c>
      <c r="C14" s="26">
        <v>1</v>
      </c>
      <c r="D14" s="30">
        <f t="shared" si="0"/>
        <v>5</v>
      </c>
      <c r="E14" s="30" t="str">
        <f t="shared" si="1"/>
        <v>Fill-In</v>
      </c>
      <c r="F14" s="31" t="s">
        <v>89</v>
      </c>
    </row>
    <row r="15" spans="1:6" ht="27.75" customHeight="1" x14ac:dyDescent="0.25">
      <c r="A15" s="25" t="s">
        <v>90</v>
      </c>
      <c r="B15" s="26">
        <v>4</v>
      </c>
      <c r="C15" s="26">
        <v>3</v>
      </c>
      <c r="D15" s="27">
        <f t="shared" si="0"/>
        <v>5</v>
      </c>
      <c r="E15" s="27" t="str">
        <f t="shared" si="1"/>
        <v>Major Project</v>
      </c>
      <c r="F15" s="28" t="s">
        <v>91</v>
      </c>
    </row>
    <row r="16" spans="1:6" ht="27.75" customHeight="1" x14ac:dyDescent="0.25">
      <c r="A16" s="29" t="s">
        <v>92</v>
      </c>
      <c r="B16" s="26">
        <v>5</v>
      </c>
      <c r="C16" s="26">
        <v>5</v>
      </c>
      <c r="D16" s="30">
        <f t="shared" si="0"/>
        <v>5</v>
      </c>
      <c r="E16" s="30" t="str">
        <f t="shared" si="1"/>
        <v>Major Project</v>
      </c>
      <c r="F16" s="31" t="s">
        <v>93</v>
      </c>
    </row>
    <row r="17" spans="1:6" ht="27.75" customHeight="1" x14ac:dyDescent="0.25">
      <c r="A17" s="25" t="s">
        <v>94</v>
      </c>
      <c r="B17" s="26">
        <v>4</v>
      </c>
      <c r="C17" s="26">
        <v>4</v>
      </c>
      <c r="D17" s="27">
        <f t="shared" si="0"/>
        <v>4</v>
      </c>
      <c r="E17" s="27" t="str">
        <f t="shared" si="1"/>
        <v>Major Project</v>
      </c>
      <c r="F17" s="28" t="s">
        <v>95</v>
      </c>
    </row>
    <row r="18" spans="1:6" ht="27.75" customHeight="1" x14ac:dyDescent="0.25">
      <c r="A18" s="29" t="s">
        <v>96</v>
      </c>
      <c r="B18" s="26">
        <v>5</v>
      </c>
      <c r="C18" s="26">
        <v>2</v>
      </c>
      <c r="D18" s="30">
        <f t="shared" si="0"/>
        <v>8</v>
      </c>
      <c r="E18" s="30" t="str">
        <f t="shared" si="1"/>
        <v>Quick Win</v>
      </c>
      <c r="F18" s="31" t="s">
        <v>97</v>
      </c>
    </row>
    <row r="19" spans="1:6" ht="27.75" customHeight="1" x14ac:dyDescent="0.25">
      <c r="A19" s="25" t="s">
        <v>98</v>
      </c>
      <c r="B19" s="26">
        <v>4</v>
      </c>
      <c r="C19" s="26">
        <v>2</v>
      </c>
      <c r="D19" s="27">
        <f t="shared" si="0"/>
        <v>6</v>
      </c>
      <c r="E19" s="27" t="str">
        <f t="shared" si="1"/>
        <v>Quick Win</v>
      </c>
      <c r="F19" s="28" t="s">
        <v>99</v>
      </c>
    </row>
    <row r="21" spans="1:6" x14ac:dyDescent="0.25">
      <c r="A21" s="66" t="s">
        <v>100</v>
      </c>
      <c r="B21" s="66"/>
      <c r="C21" s="66"/>
      <c r="D21" s="66"/>
      <c r="E21" s="66"/>
      <c r="F21" s="66"/>
    </row>
    <row r="22" spans="1:6" x14ac:dyDescent="0.25">
      <c r="A22" s="69" t="s">
        <v>101</v>
      </c>
      <c r="B22" s="69"/>
      <c r="C22" s="70" t="s">
        <v>102</v>
      </c>
      <c r="D22" s="70"/>
      <c r="E22" s="71" t="s">
        <v>103</v>
      </c>
      <c r="F22" s="71"/>
    </row>
    <row r="23" spans="1:6" x14ac:dyDescent="0.25">
      <c r="A23" s="72" t="s">
        <v>104</v>
      </c>
      <c r="B23" s="72"/>
      <c r="C23" s="70" t="s">
        <v>105</v>
      </c>
      <c r="D23" s="70"/>
      <c r="E23" s="71" t="s">
        <v>106</v>
      </c>
      <c r="F23" s="71"/>
    </row>
    <row r="24" spans="1:6" x14ac:dyDescent="0.25">
      <c r="A24" s="73" t="s">
        <v>107</v>
      </c>
      <c r="B24" s="73"/>
      <c r="C24" s="70" t="s">
        <v>108</v>
      </c>
      <c r="D24" s="70"/>
      <c r="E24" s="71" t="s">
        <v>109</v>
      </c>
      <c r="F24" s="71"/>
    </row>
    <row r="25" spans="1:6" x14ac:dyDescent="0.25">
      <c r="A25" s="74" t="s">
        <v>110</v>
      </c>
      <c r="B25" s="74"/>
      <c r="C25" s="70" t="s">
        <v>111</v>
      </c>
      <c r="D25" s="70"/>
      <c r="E25" s="71" t="s">
        <v>112</v>
      </c>
      <c r="F25" s="71"/>
    </row>
  </sheetData>
  <mergeCells count="15">
    <mergeCell ref="A25:B25"/>
    <mergeCell ref="C25:D25"/>
    <mergeCell ref="E25:F25"/>
    <mergeCell ref="A23:B23"/>
    <mergeCell ref="C23:D23"/>
    <mergeCell ref="E23:F23"/>
    <mergeCell ref="A24:B24"/>
    <mergeCell ref="C24:D24"/>
    <mergeCell ref="E24:F24"/>
    <mergeCell ref="A1:F1"/>
    <mergeCell ref="A2:F2"/>
    <mergeCell ref="A21:F21"/>
    <mergeCell ref="A22:B22"/>
    <mergeCell ref="C22:D22"/>
    <mergeCell ref="E22:F22"/>
  </mergeCells>
  <conditionalFormatting sqref="E5:E19">
    <cfRule type="cellIs" dxfId="57" priority="2" operator="equal">
      <formula>"Quick Win"</formula>
    </cfRule>
    <cfRule type="cellIs" dxfId="56" priority="3" operator="equal">
      <formula>"Major Project"</formula>
    </cfRule>
    <cfRule type="cellIs" dxfId="55" priority="4" operator="equal">
      <formula>"Fill-In"</formula>
    </cfRule>
    <cfRule type="cellIs" dxfId="54" priority="5" operator="equal">
      <formula>"Deprioritise"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showGridLines="0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sqref="A1:P1"/>
    </sheetView>
  </sheetViews>
  <sheetFormatPr defaultColWidth="8.7109375" defaultRowHeight="15" x14ac:dyDescent="0.25"/>
  <cols>
    <col min="1" max="1" width="38" customWidth="1"/>
    <col min="2" max="2" width="11" customWidth="1"/>
    <col min="3" max="3" width="9" customWidth="1"/>
    <col min="4" max="4" width="13" customWidth="1"/>
    <col min="5" max="16" width="6.5703125" customWidth="1"/>
  </cols>
  <sheetData>
    <row r="1" spans="1:16" ht="18" x14ac:dyDescent="0.25">
      <c r="A1" s="14" t="s">
        <v>113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x14ac:dyDescent="0.25">
      <c r="A2" s="68" t="s">
        <v>114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</row>
    <row r="4" spans="1:16" ht="22.5" x14ac:dyDescent="0.25">
      <c r="A4" s="35" t="s">
        <v>64</v>
      </c>
      <c r="B4" s="35" t="s">
        <v>115</v>
      </c>
      <c r="C4" s="35" t="s">
        <v>116</v>
      </c>
      <c r="D4" s="35" t="s">
        <v>68</v>
      </c>
      <c r="E4" s="35" t="s">
        <v>117</v>
      </c>
      <c r="F4" s="35" t="s">
        <v>118</v>
      </c>
      <c r="G4" s="35" t="s">
        <v>119</v>
      </c>
      <c r="H4" s="35" t="s">
        <v>120</v>
      </c>
      <c r="I4" s="35" t="s">
        <v>121</v>
      </c>
      <c r="J4" s="35" t="s">
        <v>122</v>
      </c>
      <c r="K4" s="35" t="s">
        <v>123</v>
      </c>
      <c r="L4" s="35" t="s">
        <v>124</v>
      </c>
      <c r="M4" s="35" t="s">
        <v>125</v>
      </c>
      <c r="N4" s="35" t="s">
        <v>126</v>
      </c>
      <c r="O4" s="35" t="s">
        <v>127</v>
      </c>
      <c r="P4" s="35" t="s">
        <v>128</v>
      </c>
    </row>
    <row r="5" spans="1:16" ht="21.75" customHeight="1" x14ac:dyDescent="0.25">
      <c r="A5" s="36" t="str">
        <f>'Priority Initiative Framework'!A5</f>
        <v>Automate bank &amp; cash reconciliation</v>
      </c>
      <c r="B5" s="37">
        <v>1</v>
      </c>
      <c r="C5" s="37">
        <v>2</v>
      </c>
      <c r="D5" s="38" t="str">
        <f>'Priority Initiative Framework'!E5</f>
        <v>Quick Win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</row>
    <row r="6" spans="1:16" ht="21.75" customHeight="1" x14ac:dyDescent="0.25">
      <c r="A6" s="36" t="str">
        <f>'Priority Initiative Framework'!A6</f>
        <v>AI-assisted month-end close checklist &amp; workflow</v>
      </c>
      <c r="B6" s="37">
        <v>2</v>
      </c>
      <c r="C6" s="37">
        <v>3</v>
      </c>
      <c r="D6" s="38" t="str">
        <f>'Priority Initiative Framework'!E6</f>
        <v>Major Project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</row>
    <row r="7" spans="1:16" ht="21.75" customHeight="1" x14ac:dyDescent="0.25">
      <c r="A7" s="36" t="str">
        <f>'Priority Initiative Framework'!A7</f>
        <v>Deploy Copilot / AI tools in Excel for reporting</v>
      </c>
      <c r="B7" s="37">
        <v>1</v>
      </c>
      <c r="C7" s="37">
        <v>2</v>
      </c>
      <c r="D7" s="38" t="str">
        <f>'Priority Initiative Framework'!E7</f>
        <v>Fill-In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</row>
    <row r="8" spans="1:16" ht="21.75" customHeight="1" x14ac:dyDescent="0.25">
      <c r="A8" s="36" t="str">
        <f>'Priority Initiative Framework'!A8</f>
        <v>Rolling 13-week cash flow forecasting model</v>
      </c>
      <c r="B8" s="37">
        <v>3</v>
      </c>
      <c r="C8" s="37">
        <v>2</v>
      </c>
      <c r="D8" s="38" t="str">
        <f>'Priority Initiative Framework'!E8</f>
        <v>Quick Win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</row>
    <row r="9" spans="1:16" ht="21.75" customHeight="1" x14ac:dyDescent="0.25">
      <c r="A9" s="36" t="str">
        <f>'Priority Initiative Framework'!A9</f>
        <v>Automate AP invoice processing (OCR / matching)</v>
      </c>
      <c r="B9" s="37">
        <v>4</v>
      </c>
      <c r="C9" s="37">
        <v>4</v>
      </c>
      <c r="D9" s="38" t="str">
        <f>'Priority Initiative Framework'!E9</f>
        <v>Major Project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</row>
    <row r="10" spans="1:16" ht="21.75" customHeight="1" x14ac:dyDescent="0.25">
      <c r="A10" s="36" t="str">
        <f>'Priority Initiative Framework'!A10</f>
        <v>Automate AR collections &amp; dunning workflow</v>
      </c>
      <c r="B10" s="37">
        <v>5</v>
      </c>
      <c r="C10" s="37">
        <v>3</v>
      </c>
      <c r="D10" s="38" t="str">
        <f>'Priority Initiative Framework'!E10</f>
        <v>Major Project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</row>
    <row r="11" spans="1:16" ht="21.75" customHeight="1" x14ac:dyDescent="0.25">
      <c r="A11" s="36" t="str">
        <f>'Priority Initiative Framework'!A11</f>
        <v>RPA for repetitive journal entries</v>
      </c>
      <c r="B11" s="37">
        <v>6</v>
      </c>
      <c r="C11" s="37">
        <v>3</v>
      </c>
      <c r="D11" s="38" t="str">
        <f>'Priority Initiative Framework'!E11</f>
        <v>Deprioritise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</row>
    <row r="12" spans="1:16" ht="21.75" customHeight="1" x14ac:dyDescent="0.25">
      <c r="A12" s="36" t="str">
        <f>'Priority Initiative Framework'!A12</f>
        <v>Self-service BI dashboards for stakeholders</v>
      </c>
      <c r="B12" s="37">
        <v>7</v>
      </c>
      <c r="C12" s="37">
        <v>4</v>
      </c>
      <c r="D12" s="38" t="str">
        <f>'Priority Initiative Framework'!E12</f>
        <v>Major Project</v>
      </c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</row>
    <row r="13" spans="1:16" ht="21.75" customHeight="1" x14ac:dyDescent="0.25">
      <c r="A13" s="36" t="str">
        <f>'Priority Initiative Framework'!A13</f>
        <v>Migrate to cloud ERP / upgrade core system</v>
      </c>
      <c r="B13" s="37">
        <v>5</v>
      </c>
      <c r="C13" s="37">
        <v>8</v>
      </c>
      <c r="D13" s="38" t="str">
        <f>'Priority Initiative Framework'!E13</f>
        <v>Major Project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</row>
    <row r="14" spans="1:16" ht="21.75" customHeight="1" x14ac:dyDescent="0.25">
      <c r="A14" s="36" t="str">
        <f>'Priority Initiative Framework'!A14</f>
        <v>E-signature &amp; digital approval workflows</v>
      </c>
      <c r="B14" s="37">
        <v>2</v>
      </c>
      <c r="C14" s="37">
        <v>1</v>
      </c>
      <c r="D14" s="38" t="str">
        <f>'Priority Initiative Framework'!E14</f>
        <v>Fill-In</v>
      </c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</row>
    <row r="15" spans="1:16" ht="21.75" customHeight="1" x14ac:dyDescent="0.25">
      <c r="A15" s="36" t="str">
        <f>'Priority Initiative Framework'!A15</f>
        <v>Automate variance analysis &amp; flux reporting</v>
      </c>
      <c r="B15" s="37">
        <v>7</v>
      </c>
      <c r="C15" s="37">
        <v>3</v>
      </c>
      <c r="D15" s="38" t="str">
        <f>'Priority Initiative Framework'!E15</f>
        <v>Major Project</v>
      </c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</row>
    <row r="16" spans="1:16" ht="21.75" customHeight="1" x14ac:dyDescent="0.25">
      <c r="A16" s="36" t="str">
        <f>'Priority Initiative Framework'!A16</f>
        <v>Financial data warehouse / single source of truth</v>
      </c>
      <c r="B16" s="37">
        <v>6</v>
      </c>
      <c r="C16" s="37">
        <v>6</v>
      </c>
      <c r="D16" s="38" t="str">
        <f>'Priority Initiative Framework'!E16</f>
        <v>Major Project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</row>
    <row r="17" spans="1:16" ht="21.75" customHeight="1" x14ac:dyDescent="0.25">
      <c r="A17" s="36" t="str">
        <f>'Priority Initiative Framework'!A17</f>
        <v>Implement continuous close practices</v>
      </c>
      <c r="B17" s="37">
        <v>8</v>
      </c>
      <c r="C17" s="37">
        <v>4</v>
      </c>
      <c r="D17" s="38" t="str">
        <f>'Priority Initiative Framework'!E17</f>
        <v>Major Project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</row>
    <row r="18" spans="1:16" ht="21.75" customHeight="1" x14ac:dyDescent="0.25">
      <c r="A18" s="36" t="str">
        <f>'Priority Initiative Framework'!A18</f>
        <v>Train finance team on AI tools &amp; data literacy</v>
      </c>
      <c r="B18" s="37">
        <v>1</v>
      </c>
      <c r="C18" s="37">
        <v>3</v>
      </c>
      <c r="D18" s="38" t="str">
        <f>'Priority Initiative Framework'!E18</f>
        <v>Quick Win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</row>
    <row r="19" spans="1:16" ht="21.75" customHeight="1" x14ac:dyDescent="0.25">
      <c r="A19" s="36" t="str">
        <f>'Priority Initiative Framework'!A19</f>
        <v>Establish AI / data governance framework</v>
      </c>
      <c r="B19" s="37">
        <v>1</v>
      </c>
      <c r="C19" s="37">
        <v>2</v>
      </c>
      <c r="D19" s="38" t="str">
        <f>'Priority Initiative Framework'!E19</f>
        <v>Quick Win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</row>
    <row r="21" spans="1:16" x14ac:dyDescent="0.25">
      <c r="A21" s="66" t="s">
        <v>129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</row>
    <row r="22" spans="1:16" x14ac:dyDescent="0.25">
      <c r="A22" s="75" t="s">
        <v>101</v>
      </c>
      <c r="B22" s="75"/>
      <c r="C22" s="75"/>
      <c r="D22" s="75"/>
    </row>
    <row r="23" spans="1:16" x14ac:dyDescent="0.25">
      <c r="A23" s="76" t="s">
        <v>104</v>
      </c>
      <c r="B23" s="76"/>
      <c r="C23" s="76"/>
      <c r="D23" s="76"/>
    </row>
    <row r="24" spans="1:16" x14ac:dyDescent="0.25">
      <c r="A24" s="77" t="s">
        <v>107</v>
      </c>
      <c r="B24" s="77"/>
      <c r="C24" s="77"/>
      <c r="D24" s="77"/>
    </row>
    <row r="25" spans="1:16" x14ac:dyDescent="0.25">
      <c r="A25" s="78" t="s">
        <v>110</v>
      </c>
      <c r="B25" s="78"/>
      <c r="C25" s="78"/>
      <c r="D25" s="78"/>
    </row>
  </sheetData>
  <mergeCells count="7">
    <mergeCell ref="A24:D24"/>
    <mergeCell ref="A25:D25"/>
    <mergeCell ref="A1:P1"/>
    <mergeCell ref="A2:P2"/>
    <mergeCell ref="A21:P21"/>
    <mergeCell ref="A22:D22"/>
    <mergeCell ref="A23:D23"/>
  </mergeCells>
  <conditionalFormatting sqref="E5:E19">
    <cfRule type="expression" dxfId="53" priority="2">
      <formula>AND(1&gt;=$B5,1&lt;=$B5+$C5-1,$D5="Quick Win")</formula>
    </cfRule>
    <cfRule type="expression" dxfId="52" priority="3">
      <formula>AND(1&gt;=$B5,1&lt;=$B5+$C5-1,$D5="Major Project")</formula>
    </cfRule>
    <cfRule type="expression" dxfId="51" priority="4">
      <formula>AND(1&gt;=$B5,1&lt;=$B5+$C5-1,$D5="Fill-In")</formula>
    </cfRule>
    <cfRule type="expression" dxfId="50" priority="5">
      <formula>AND(1&gt;=$B5,1&lt;=$B5+$C5-1,$D5="Deprioritise")</formula>
    </cfRule>
  </conditionalFormatting>
  <conditionalFormatting sqref="F5:F19">
    <cfRule type="expression" dxfId="49" priority="6">
      <formula>AND(2&gt;=$B5,2&lt;=$B5+$C5-1,$D5="Quick Win")</formula>
    </cfRule>
    <cfRule type="expression" dxfId="48" priority="7">
      <formula>AND(2&gt;=$B5,2&lt;=$B5+$C5-1,$D5="Major Project")</formula>
    </cfRule>
    <cfRule type="expression" dxfId="47" priority="8">
      <formula>AND(2&gt;=$B5,2&lt;=$B5+$C5-1,$D5="Fill-In")</formula>
    </cfRule>
    <cfRule type="expression" dxfId="46" priority="9">
      <formula>AND(2&gt;=$B5,2&lt;=$B5+$C5-1,$D5="Deprioritise")</formula>
    </cfRule>
  </conditionalFormatting>
  <conditionalFormatting sqref="G5:G19">
    <cfRule type="expression" dxfId="45" priority="10">
      <formula>AND(3&gt;=$B5,3&lt;=$B5+$C5-1,$D5="Quick Win")</formula>
    </cfRule>
    <cfRule type="expression" dxfId="44" priority="11">
      <formula>AND(3&gt;=$B5,3&lt;=$B5+$C5-1,$D5="Major Project")</formula>
    </cfRule>
    <cfRule type="expression" dxfId="43" priority="12">
      <formula>AND(3&gt;=$B5,3&lt;=$B5+$C5-1,$D5="Fill-In")</formula>
    </cfRule>
    <cfRule type="expression" dxfId="42" priority="13">
      <formula>AND(3&gt;=$B5,3&lt;=$B5+$C5-1,$D5="Deprioritise")</formula>
    </cfRule>
  </conditionalFormatting>
  <conditionalFormatting sqref="H5:H19">
    <cfRule type="expression" dxfId="41" priority="14">
      <formula>AND(4&gt;=$B5,4&lt;=$B5+$C5-1,$D5="Quick Win")</formula>
    </cfRule>
    <cfRule type="expression" dxfId="40" priority="15">
      <formula>AND(4&gt;=$B5,4&lt;=$B5+$C5-1,$D5="Major Project")</formula>
    </cfRule>
    <cfRule type="expression" dxfId="39" priority="16">
      <formula>AND(4&gt;=$B5,4&lt;=$B5+$C5-1,$D5="Fill-In")</formula>
    </cfRule>
    <cfRule type="expression" dxfId="38" priority="17">
      <formula>AND(4&gt;=$B5,4&lt;=$B5+$C5-1,$D5="Deprioritise")</formula>
    </cfRule>
  </conditionalFormatting>
  <conditionalFormatting sqref="I5:I19">
    <cfRule type="expression" dxfId="37" priority="18">
      <formula>AND(5&gt;=$B5,5&lt;=$B5+$C5-1,$D5="Quick Win")</formula>
    </cfRule>
    <cfRule type="expression" dxfId="36" priority="19">
      <formula>AND(5&gt;=$B5,5&lt;=$B5+$C5-1,$D5="Major Project")</formula>
    </cfRule>
    <cfRule type="expression" dxfId="35" priority="20">
      <formula>AND(5&gt;=$B5,5&lt;=$B5+$C5-1,$D5="Fill-In")</formula>
    </cfRule>
    <cfRule type="expression" dxfId="34" priority="21">
      <formula>AND(5&gt;=$B5,5&lt;=$B5+$C5-1,$D5="Deprioritise")</formula>
    </cfRule>
  </conditionalFormatting>
  <conditionalFormatting sqref="J5:J19">
    <cfRule type="expression" dxfId="33" priority="22">
      <formula>AND(6&gt;=$B5,6&lt;=$B5+$C5-1,$D5="Quick Win")</formula>
    </cfRule>
    <cfRule type="expression" dxfId="32" priority="23">
      <formula>AND(6&gt;=$B5,6&lt;=$B5+$C5-1,$D5="Major Project")</formula>
    </cfRule>
    <cfRule type="expression" dxfId="31" priority="24">
      <formula>AND(6&gt;=$B5,6&lt;=$B5+$C5-1,$D5="Fill-In")</formula>
    </cfRule>
    <cfRule type="expression" dxfId="30" priority="25">
      <formula>AND(6&gt;=$B5,6&lt;=$B5+$C5-1,$D5="Deprioritise")</formula>
    </cfRule>
  </conditionalFormatting>
  <conditionalFormatting sqref="K5:K19">
    <cfRule type="expression" dxfId="29" priority="26">
      <formula>AND(7&gt;=$B5,7&lt;=$B5+$C5-1,$D5="Quick Win")</formula>
    </cfRule>
    <cfRule type="expression" dxfId="28" priority="27">
      <formula>AND(7&gt;=$B5,7&lt;=$B5+$C5-1,$D5="Major Project")</formula>
    </cfRule>
    <cfRule type="expression" dxfId="27" priority="28">
      <formula>AND(7&gt;=$B5,7&lt;=$B5+$C5-1,$D5="Fill-In")</formula>
    </cfRule>
    <cfRule type="expression" dxfId="26" priority="29">
      <formula>AND(7&gt;=$B5,7&lt;=$B5+$C5-1,$D5="Deprioritise")</formula>
    </cfRule>
  </conditionalFormatting>
  <conditionalFormatting sqref="L5:L19">
    <cfRule type="expression" dxfId="25" priority="30">
      <formula>AND(8&gt;=$B5,8&lt;=$B5+$C5-1,$D5="Quick Win")</formula>
    </cfRule>
    <cfRule type="expression" dxfId="24" priority="31">
      <formula>AND(8&gt;=$B5,8&lt;=$B5+$C5-1,$D5="Major Project")</formula>
    </cfRule>
    <cfRule type="expression" dxfId="23" priority="32">
      <formula>AND(8&gt;=$B5,8&lt;=$B5+$C5-1,$D5="Fill-In")</formula>
    </cfRule>
    <cfRule type="expression" dxfId="22" priority="33">
      <formula>AND(8&gt;=$B5,8&lt;=$B5+$C5-1,$D5="Deprioritise")</formula>
    </cfRule>
  </conditionalFormatting>
  <conditionalFormatting sqref="M5:M19">
    <cfRule type="expression" dxfId="21" priority="34">
      <formula>AND(9&gt;=$B5,9&lt;=$B5+$C5-1,$D5="Quick Win")</formula>
    </cfRule>
    <cfRule type="expression" dxfId="20" priority="35">
      <formula>AND(9&gt;=$B5,9&lt;=$B5+$C5-1,$D5="Major Project")</formula>
    </cfRule>
    <cfRule type="expression" dxfId="19" priority="36">
      <formula>AND(9&gt;=$B5,9&lt;=$B5+$C5-1,$D5="Fill-In")</formula>
    </cfRule>
    <cfRule type="expression" dxfId="18" priority="37">
      <formula>AND(9&gt;=$B5,9&lt;=$B5+$C5-1,$D5="Deprioritise")</formula>
    </cfRule>
  </conditionalFormatting>
  <conditionalFormatting sqref="N5:N19">
    <cfRule type="expression" dxfId="17" priority="38">
      <formula>AND(10&gt;=$B5,10&lt;=$B5+$C5-1,$D5="Quick Win")</formula>
    </cfRule>
    <cfRule type="expression" dxfId="16" priority="39">
      <formula>AND(10&gt;=$B5,10&lt;=$B5+$C5-1,$D5="Major Project")</formula>
    </cfRule>
    <cfRule type="expression" dxfId="15" priority="40">
      <formula>AND(10&gt;=$B5,10&lt;=$B5+$C5-1,$D5="Fill-In")</formula>
    </cfRule>
    <cfRule type="expression" dxfId="14" priority="41">
      <formula>AND(10&gt;=$B5,10&lt;=$B5+$C5-1,$D5="Deprioritise")</formula>
    </cfRule>
  </conditionalFormatting>
  <conditionalFormatting sqref="O5:O19">
    <cfRule type="expression" dxfId="13" priority="42">
      <formula>AND(11&gt;=$B5,11&lt;=$B5+$C5-1,$D5="Quick Win")</formula>
    </cfRule>
    <cfRule type="expression" dxfId="12" priority="43">
      <formula>AND(11&gt;=$B5,11&lt;=$B5+$C5-1,$D5="Major Project")</formula>
    </cfRule>
    <cfRule type="expression" dxfId="11" priority="44">
      <formula>AND(11&gt;=$B5,11&lt;=$B5+$C5-1,$D5="Fill-In")</formula>
    </cfRule>
    <cfRule type="expression" dxfId="10" priority="45">
      <formula>AND(11&gt;=$B5,11&lt;=$B5+$C5-1,$D5="Deprioritise")</formula>
    </cfRule>
  </conditionalFormatting>
  <conditionalFormatting sqref="P5:P19">
    <cfRule type="expression" dxfId="9" priority="46">
      <formula>AND(12&gt;=$B5,12&lt;=$B5+$C5-1,$D5="Quick Win")</formula>
    </cfRule>
    <cfRule type="expression" dxfId="8" priority="47">
      <formula>AND(12&gt;=$B5,12&lt;=$B5+$C5-1,$D5="Major Project")</formula>
    </cfRule>
    <cfRule type="expression" dxfId="7" priority="48">
      <formula>AND(12&gt;=$B5,12&lt;=$B5+$C5-1,$D5="Fill-In")</formula>
    </cfRule>
    <cfRule type="expression" dxfId="6" priority="49">
      <formula>AND(12&gt;=$B5,12&lt;=$B5+$C5-1,$D5="Deprioritise")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showGridLines="0" zoomScaleNormal="100" workbookViewId="0">
      <pane ySplit="4" topLeftCell="A5" activePane="bottomLeft" state="frozen"/>
      <selection pane="bottomLeft" sqref="A1:F1"/>
    </sheetView>
  </sheetViews>
  <sheetFormatPr defaultColWidth="8.7109375" defaultRowHeight="15" x14ac:dyDescent="0.25"/>
  <cols>
    <col min="1" max="1" width="38" customWidth="1"/>
    <col min="2" max="4" width="16" customWidth="1"/>
    <col min="5" max="5" width="24" customWidth="1"/>
    <col min="6" max="6" width="14" customWidth="1"/>
  </cols>
  <sheetData>
    <row r="1" spans="1:6" ht="18" x14ac:dyDescent="0.25">
      <c r="A1" s="14" t="s">
        <v>130</v>
      </c>
      <c r="B1" s="14"/>
      <c r="C1" s="14"/>
      <c r="D1" s="14"/>
      <c r="E1" s="14"/>
      <c r="F1" s="14"/>
    </row>
    <row r="2" spans="1:6" x14ac:dyDescent="0.25">
      <c r="A2" s="68" t="s">
        <v>131</v>
      </c>
      <c r="B2" s="68"/>
      <c r="C2" s="68"/>
      <c r="D2" s="68"/>
      <c r="E2" s="68"/>
      <c r="F2" s="68"/>
    </row>
    <row r="4" spans="1:6" ht="22.5" x14ac:dyDescent="0.25">
      <c r="A4" s="35" t="s">
        <v>64</v>
      </c>
      <c r="B4" s="35" t="s">
        <v>132</v>
      </c>
      <c r="C4" s="35" t="s">
        <v>133</v>
      </c>
      <c r="D4" s="35" t="s">
        <v>134</v>
      </c>
      <c r="E4" s="35" t="s">
        <v>135</v>
      </c>
      <c r="F4" s="35" t="s">
        <v>136</v>
      </c>
    </row>
    <row r="5" spans="1:6" ht="24" customHeight="1" x14ac:dyDescent="0.25">
      <c r="A5" s="40" t="str">
        <f>'Priority Initiative Framework'!A5</f>
        <v>Automate bank &amp; cash reconciliation</v>
      </c>
      <c r="B5" s="37">
        <v>8</v>
      </c>
      <c r="C5" s="41">
        <v>3000</v>
      </c>
      <c r="D5" s="41">
        <v>6000</v>
      </c>
      <c r="E5" s="42" t="s">
        <v>137</v>
      </c>
      <c r="F5" s="43">
        <f t="shared" ref="F5:F19" si="0">C5+D5</f>
        <v>9000</v>
      </c>
    </row>
    <row r="6" spans="1:6" ht="24" customHeight="1" x14ac:dyDescent="0.25">
      <c r="A6" s="44" t="str">
        <f>'Priority Initiative Framework'!A6</f>
        <v>AI-assisted month-end close checklist &amp; workflow</v>
      </c>
      <c r="B6" s="37">
        <v>6</v>
      </c>
      <c r="C6" s="41">
        <v>5000</v>
      </c>
      <c r="D6" s="41">
        <v>4000</v>
      </c>
      <c r="E6" s="42" t="s">
        <v>138</v>
      </c>
      <c r="F6" s="45">
        <f t="shared" si="0"/>
        <v>9000</v>
      </c>
    </row>
    <row r="7" spans="1:6" ht="24" customHeight="1" x14ac:dyDescent="0.25">
      <c r="A7" s="40" t="str">
        <f>'Priority Initiative Framework'!A7</f>
        <v>Deploy Copilot / AI tools in Excel for reporting</v>
      </c>
      <c r="B7" s="37">
        <v>4</v>
      </c>
      <c r="C7" s="41">
        <v>0</v>
      </c>
      <c r="D7" s="41">
        <v>2400</v>
      </c>
      <c r="E7" s="42" t="s">
        <v>139</v>
      </c>
      <c r="F7" s="43">
        <f t="shared" si="0"/>
        <v>2400</v>
      </c>
    </row>
    <row r="8" spans="1:6" ht="24" customHeight="1" x14ac:dyDescent="0.25">
      <c r="A8" s="44" t="str">
        <f>'Priority Initiative Framework'!A8</f>
        <v>Rolling 13-week cash flow forecasting model</v>
      </c>
      <c r="B8" s="37">
        <v>6</v>
      </c>
      <c r="C8" s="41">
        <v>4000</v>
      </c>
      <c r="D8" s="41">
        <v>3000</v>
      </c>
      <c r="E8" s="42" t="s">
        <v>140</v>
      </c>
      <c r="F8" s="45">
        <f t="shared" si="0"/>
        <v>7000</v>
      </c>
    </row>
    <row r="9" spans="1:6" ht="24" customHeight="1" x14ac:dyDescent="0.25">
      <c r="A9" s="40" t="str">
        <f>'Priority Initiative Framework'!A9</f>
        <v>Automate AP invoice processing (OCR / matching)</v>
      </c>
      <c r="B9" s="37">
        <v>10</v>
      </c>
      <c r="C9" s="41">
        <v>25000</v>
      </c>
      <c r="D9" s="41">
        <v>15000</v>
      </c>
      <c r="E9" s="42" t="s">
        <v>141</v>
      </c>
      <c r="F9" s="43">
        <f t="shared" si="0"/>
        <v>40000</v>
      </c>
    </row>
    <row r="10" spans="1:6" ht="24" customHeight="1" x14ac:dyDescent="0.25">
      <c r="A10" s="44" t="str">
        <f>'Priority Initiative Framework'!A10</f>
        <v>Automate AR collections &amp; dunning workflow</v>
      </c>
      <c r="B10" s="37">
        <v>8</v>
      </c>
      <c r="C10" s="41">
        <v>15000</v>
      </c>
      <c r="D10" s="41">
        <v>8000</v>
      </c>
      <c r="E10" s="42" t="s">
        <v>142</v>
      </c>
      <c r="F10" s="45">
        <f t="shared" si="0"/>
        <v>23000</v>
      </c>
    </row>
    <row r="11" spans="1:6" ht="24" customHeight="1" x14ac:dyDescent="0.25">
      <c r="A11" s="40" t="str">
        <f>'Priority Initiative Framework'!A11</f>
        <v>RPA for repetitive journal entries</v>
      </c>
      <c r="B11" s="37">
        <v>6</v>
      </c>
      <c r="C11" s="41">
        <v>8000</v>
      </c>
      <c r="D11" s="41">
        <v>5000</v>
      </c>
      <c r="E11" s="42" t="s">
        <v>137</v>
      </c>
      <c r="F11" s="43">
        <f t="shared" si="0"/>
        <v>13000</v>
      </c>
    </row>
    <row r="12" spans="1:6" ht="24" customHeight="1" x14ac:dyDescent="0.25">
      <c r="A12" s="44" t="str">
        <f>'Priority Initiative Framework'!A12</f>
        <v>Self-service BI dashboards for stakeholders</v>
      </c>
      <c r="B12" s="37">
        <v>8</v>
      </c>
      <c r="C12" s="41">
        <v>12000</v>
      </c>
      <c r="D12" s="41">
        <v>10000</v>
      </c>
      <c r="E12" s="42" t="s">
        <v>143</v>
      </c>
      <c r="F12" s="45">
        <f t="shared" si="0"/>
        <v>22000</v>
      </c>
    </row>
    <row r="13" spans="1:6" ht="24" customHeight="1" x14ac:dyDescent="0.25">
      <c r="A13" s="40" t="str">
        <f>'Priority Initiative Framework'!A13</f>
        <v>Migrate to cloud ERP / upgrade core system</v>
      </c>
      <c r="B13" s="37">
        <v>20</v>
      </c>
      <c r="C13" s="41">
        <v>150000</v>
      </c>
      <c r="D13" s="41">
        <v>80000</v>
      </c>
      <c r="E13" s="42" t="s">
        <v>144</v>
      </c>
      <c r="F13" s="43">
        <f t="shared" si="0"/>
        <v>230000</v>
      </c>
    </row>
    <row r="14" spans="1:6" ht="24" customHeight="1" x14ac:dyDescent="0.25">
      <c r="A14" s="44" t="str">
        <f>'Priority Initiative Framework'!A14</f>
        <v>E-signature &amp; digital approval workflows</v>
      </c>
      <c r="B14" s="37">
        <v>3</v>
      </c>
      <c r="C14" s="41">
        <v>2000</v>
      </c>
      <c r="D14" s="41">
        <v>1500</v>
      </c>
      <c r="E14" s="42" t="s">
        <v>145</v>
      </c>
      <c r="F14" s="45">
        <f t="shared" si="0"/>
        <v>3500</v>
      </c>
    </row>
    <row r="15" spans="1:6" ht="24" customHeight="1" x14ac:dyDescent="0.25">
      <c r="A15" s="40" t="str">
        <f>'Priority Initiative Framework'!A15</f>
        <v>Automate variance analysis &amp; flux reporting</v>
      </c>
      <c r="B15" s="37">
        <v>5</v>
      </c>
      <c r="C15" s="41">
        <v>6000</v>
      </c>
      <c r="D15" s="41">
        <v>4000</v>
      </c>
      <c r="E15" s="42" t="s">
        <v>139</v>
      </c>
      <c r="F15" s="43">
        <f t="shared" si="0"/>
        <v>10000</v>
      </c>
    </row>
    <row r="16" spans="1:6" ht="24" customHeight="1" x14ac:dyDescent="0.25">
      <c r="A16" s="44" t="str">
        <f>'Priority Initiative Framework'!A16</f>
        <v>Financial data warehouse / single source of truth</v>
      </c>
      <c r="B16" s="37">
        <v>15</v>
      </c>
      <c r="C16" s="41">
        <v>60000</v>
      </c>
      <c r="D16" s="41">
        <v>40000</v>
      </c>
      <c r="E16" s="42" t="s">
        <v>144</v>
      </c>
      <c r="F16" s="45">
        <f t="shared" si="0"/>
        <v>100000</v>
      </c>
    </row>
    <row r="17" spans="1:6" ht="24" customHeight="1" x14ac:dyDescent="0.25">
      <c r="A17" s="40" t="str">
        <f>'Priority Initiative Framework'!A17</f>
        <v>Implement continuous close practices</v>
      </c>
      <c r="B17" s="37">
        <v>10</v>
      </c>
      <c r="C17" s="41">
        <v>5000</v>
      </c>
      <c r="D17" s="41">
        <v>3000</v>
      </c>
      <c r="E17" s="42" t="s">
        <v>138</v>
      </c>
      <c r="F17" s="43">
        <f t="shared" si="0"/>
        <v>8000</v>
      </c>
    </row>
    <row r="18" spans="1:6" ht="24" customHeight="1" x14ac:dyDescent="0.25">
      <c r="A18" s="44" t="str">
        <f>'Priority Initiative Framework'!A18</f>
        <v>Train finance team on AI tools &amp; data literacy</v>
      </c>
      <c r="B18" s="37">
        <v>4</v>
      </c>
      <c r="C18" s="41">
        <v>8000</v>
      </c>
      <c r="D18" s="41">
        <v>0</v>
      </c>
      <c r="E18" s="42" t="s">
        <v>146</v>
      </c>
      <c r="F18" s="45">
        <f t="shared" si="0"/>
        <v>8000</v>
      </c>
    </row>
    <row r="19" spans="1:6" ht="24" customHeight="1" x14ac:dyDescent="0.25">
      <c r="A19" s="40" t="str">
        <f>'Priority Initiative Framework'!A19</f>
        <v>Establish AI / data governance framework</v>
      </c>
      <c r="B19" s="37">
        <v>3</v>
      </c>
      <c r="C19" s="41">
        <v>10000</v>
      </c>
      <c r="D19" s="41">
        <v>2000</v>
      </c>
      <c r="E19" s="42" t="s">
        <v>147</v>
      </c>
      <c r="F19" s="43">
        <f t="shared" si="0"/>
        <v>12000</v>
      </c>
    </row>
    <row r="21" spans="1:6" x14ac:dyDescent="0.25">
      <c r="A21" s="66" t="s">
        <v>148</v>
      </c>
      <c r="B21" s="66"/>
      <c r="C21" s="66"/>
      <c r="D21" s="66"/>
      <c r="E21" s="66"/>
      <c r="F21" s="66"/>
    </row>
    <row r="22" spans="1:6" x14ac:dyDescent="0.25">
      <c r="A22" s="79" t="s">
        <v>149</v>
      </c>
      <c r="B22" s="79"/>
      <c r="C22" s="79"/>
      <c r="D22" s="79"/>
      <c r="E22" s="79"/>
      <c r="F22" s="46">
        <f>SUM(B5:B19)</f>
        <v>116</v>
      </c>
    </row>
    <row r="23" spans="1:6" x14ac:dyDescent="0.25">
      <c r="A23" s="79" t="s">
        <v>150</v>
      </c>
      <c r="B23" s="79"/>
      <c r="C23" s="79"/>
      <c r="D23" s="79"/>
      <c r="E23" s="79"/>
      <c r="F23" s="47">
        <f>SUM(C5:C19)</f>
        <v>313000</v>
      </c>
    </row>
    <row r="24" spans="1:6" x14ac:dyDescent="0.25">
      <c r="A24" s="79" t="s">
        <v>151</v>
      </c>
      <c r="B24" s="79"/>
      <c r="C24" s="79"/>
      <c r="D24" s="79"/>
      <c r="E24" s="79"/>
      <c r="F24" s="47">
        <f>SUM(D5:D19)</f>
        <v>183900</v>
      </c>
    </row>
    <row r="25" spans="1:6" x14ac:dyDescent="0.25">
      <c r="A25" s="80" t="s">
        <v>152</v>
      </c>
      <c r="B25" s="80"/>
      <c r="C25" s="80"/>
      <c r="D25" s="80"/>
      <c r="E25" s="80"/>
      <c r="F25" s="48">
        <f>SUM(F5:F19)</f>
        <v>496900</v>
      </c>
    </row>
    <row r="27" spans="1:6" x14ac:dyDescent="0.25">
      <c r="A27" s="49" t="s">
        <v>153</v>
      </c>
    </row>
    <row r="28" spans="1:6" x14ac:dyDescent="0.25">
      <c r="A28" s="50" t="s">
        <v>101</v>
      </c>
      <c r="F28" s="51">
        <f>SUMIF('Priority Initiative Framework'!$E$5:$E$19,"Quick Win",F5:F19)</f>
        <v>36000</v>
      </c>
    </row>
    <row r="29" spans="1:6" x14ac:dyDescent="0.25">
      <c r="A29" s="50" t="s">
        <v>104</v>
      </c>
      <c r="F29" s="51">
        <f>SUMIF('Priority Initiative Framework'!$E$5:$E$19,"Major Project",F5:F19)</f>
        <v>442000</v>
      </c>
    </row>
    <row r="30" spans="1:6" x14ac:dyDescent="0.25">
      <c r="A30" s="50" t="s">
        <v>107</v>
      </c>
      <c r="F30" s="51">
        <f>SUMIF('Priority Initiative Framework'!$E$5:$E$19,"Fill-In",F5:F19)</f>
        <v>5900</v>
      </c>
    </row>
    <row r="31" spans="1:6" x14ac:dyDescent="0.25">
      <c r="A31" s="50" t="s">
        <v>110</v>
      </c>
      <c r="F31" s="51">
        <f>SUMIF('Priority Initiative Framework'!$E$5:$E$19,"Deprioritise",F5:F19)</f>
        <v>13000</v>
      </c>
    </row>
  </sheetData>
  <mergeCells count="7">
    <mergeCell ref="A24:E24"/>
    <mergeCell ref="A25:E25"/>
    <mergeCell ref="A1:F1"/>
    <mergeCell ref="A2:F2"/>
    <mergeCell ref="A21:F21"/>
    <mergeCell ref="A22:E22"/>
    <mergeCell ref="A23:E2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"/>
  <sheetViews>
    <sheetView showGridLines="0" zoomScaleNormal="100" workbookViewId="0">
      <pane ySplit="4" topLeftCell="A5" activePane="bottomLeft" state="frozen"/>
      <selection pane="bottomLeft" sqref="A1:G1"/>
    </sheetView>
  </sheetViews>
  <sheetFormatPr defaultColWidth="8.7109375" defaultRowHeight="15" x14ac:dyDescent="0.25"/>
  <cols>
    <col min="1" max="1" width="42" customWidth="1"/>
    <col min="2" max="5" width="14" customWidth="1"/>
    <col min="6" max="7" width="16" customWidth="1"/>
  </cols>
  <sheetData>
    <row r="1" spans="1:7" ht="18" x14ac:dyDescent="0.25">
      <c r="A1" s="14" t="s">
        <v>154</v>
      </c>
      <c r="B1" s="14"/>
      <c r="C1" s="14"/>
      <c r="D1" s="14"/>
      <c r="E1" s="14"/>
      <c r="F1" s="14"/>
      <c r="G1" s="14"/>
    </row>
    <row r="2" spans="1:7" x14ac:dyDescent="0.25">
      <c r="A2" s="68" t="s">
        <v>155</v>
      </c>
      <c r="B2" s="68"/>
      <c r="C2" s="68"/>
      <c r="D2" s="68"/>
      <c r="E2" s="68"/>
      <c r="F2" s="68"/>
      <c r="G2" s="68"/>
    </row>
    <row r="4" spans="1:7" x14ac:dyDescent="0.25">
      <c r="A4" s="52" t="s">
        <v>156</v>
      </c>
      <c r="B4" s="52" t="s">
        <v>157</v>
      </c>
      <c r="C4" s="52" t="s">
        <v>158</v>
      </c>
      <c r="D4" s="52" t="s">
        <v>159</v>
      </c>
      <c r="E4" s="52" t="s">
        <v>160</v>
      </c>
      <c r="F4" s="52" t="s">
        <v>161</v>
      </c>
      <c r="G4" s="52" t="s">
        <v>162</v>
      </c>
    </row>
    <row r="5" spans="1:7" ht="25.5" customHeight="1" x14ac:dyDescent="0.25">
      <c r="A5" s="53" t="s">
        <v>163</v>
      </c>
      <c r="B5" s="54" t="s">
        <v>164</v>
      </c>
      <c r="C5" s="55">
        <v>0.2</v>
      </c>
      <c r="D5" s="55">
        <v>0.7</v>
      </c>
      <c r="E5" s="55">
        <v>0.35</v>
      </c>
      <c r="F5" s="56">
        <f t="shared" ref="F5:F12" si="0">IF(B5="Higher is Better",(E5-C5)/(D5-C5),(C5-E5)/(C5-D5))</f>
        <v>0.3</v>
      </c>
      <c r="G5" s="57" t="str">
        <f t="shared" ref="G5:G12" si="1">IF(F5&gt;=1,"Achieved",IF(F5&gt;=0.5,"On Track","Behind"))</f>
        <v>Behind</v>
      </c>
    </row>
    <row r="6" spans="1:7" ht="25.5" customHeight="1" x14ac:dyDescent="0.25">
      <c r="A6" s="58" t="s">
        <v>165</v>
      </c>
      <c r="B6" s="54" t="s">
        <v>166</v>
      </c>
      <c r="C6" s="59">
        <v>10</v>
      </c>
      <c r="D6" s="59">
        <v>5</v>
      </c>
      <c r="E6" s="59">
        <v>8</v>
      </c>
      <c r="F6" s="60">
        <f t="shared" si="0"/>
        <v>0.4</v>
      </c>
      <c r="G6" s="57" t="str">
        <f t="shared" si="1"/>
        <v>Behind</v>
      </c>
    </row>
    <row r="7" spans="1:7" ht="25.5" customHeight="1" x14ac:dyDescent="0.25">
      <c r="A7" s="53" t="s">
        <v>167</v>
      </c>
      <c r="B7" s="54" t="s">
        <v>166</v>
      </c>
      <c r="C7" s="61">
        <v>150</v>
      </c>
      <c r="D7" s="61">
        <v>40</v>
      </c>
      <c r="E7" s="61">
        <v>95</v>
      </c>
      <c r="F7" s="56">
        <f t="shared" si="0"/>
        <v>0.5</v>
      </c>
      <c r="G7" s="57" t="str">
        <f t="shared" si="1"/>
        <v>On Track</v>
      </c>
    </row>
    <row r="8" spans="1:7" ht="25.5" customHeight="1" x14ac:dyDescent="0.25">
      <c r="A8" s="58" t="s">
        <v>168</v>
      </c>
      <c r="B8" s="54" t="s">
        <v>164</v>
      </c>
      <c r="C8" s="55">
        <v>0.15</v>
      </c>
      <c r="D8" s="55">
        <v>0.6</v>
      </c>
      <c r="E8" s="55">
        <v>0.28000000000000003</v>
      </c>
      <c r="F8" s="60">
        <f t="shared" si="0"/>
        <v>0.28888888888888897</v>
      </c>
      <c r="G8" s="57" t="str">
        <f t="shared" si="1"/>
        <v>Behind</v>
      </c>
    </row>
    <row r="9" spans="1:7" ht="25.5" customHeight="1" x14ac:dyDescent="0.25">
      <c r="A9" s="53" t="s">
        <v>169</v>
      </c>
      <c r="B9" s="54" t="s">
        <v>166</v>
      </c>
      <c r="C9" s="62">
        <v>12</v>
      </c>
      <c r="D9" s="62">
        <v>2</v>
      </c>
      <c r="E9" s="62">
        <v>7</v>
      </c>
      <c r="F9" s="56">
        <f t="shared" si="0"/>
        <v>0.5</v>
      </c>
      <c r="G9" s="57" t="str">
        <f t="shared" si="1"/>
        <v>On Track</v>
      </c>
    </row>
    <row r="10" spans="1:7" ht="25.5" customHeight="1" x14ac:dyDescent="0.25">
      <c r="A10" s="58" t="s">
        <v>170</v>
      </c>
      <c r="B10" s="54" t="s">
        <v>166</v>
      </c>
      <c r="C10" s="61">
        <v>45</v>
      </c>
      <c r="D10" s="61">
        <v>15</v>
      </c>
      <c r="E10" s="61">
        <v>30</v>
      </c>
      <c r="F10" s="60">
        <f t="shared" si="0"/>
        <v>0.5</v>
      </c>
      <c r="G10" s="57" t="str">
        <f t="shared" si="1"/>
        <v>On Track</v>
      </c>
    </row>
    <row r="11" spans="1:7" ht="25.5" customHeight="1" x14ac:dyDescent="0.25">
      <c r="A11" s="53" t="s">
        <v>171</v>
      </c>
      <c r="B11" s="54" t="s">
        <v>166</v>
      </c>
      <c r="C11" s="62">
        <v>25</v>
      </c>
      <c r="D11" s="62">
        <v>8</v>
      </c>
      <c r="E11" s="62">
        <v>16</v>
      </c>
      <c r="F11" s="56">
        <f t="shared" si="0"/>
        <v>0.52941176470588236</v>
      </c>
      <c r="G11" s="57" t="str">
        <f t="shared" si="1"/>
        <v>On Track</v>
      </c>
    </row>
    <row r="12" spans="1:7" ht="25.5" customHeight="1" x14ac:dyDescent="0.25">
      <c r="A12" s="58" t="s">
        <v>172</v>
      </c>
      <c r="B12" s="54" t="s">
        <v>164</v>
      </c>
      <c r="C12" s="55">
        <v>0.1</v>
      </c>
      <c r="D12" s="55">
        <v>0.8</v>
      </c>
      <c r="E12" s="55">
        <v>0.25</v>
      </c>
      <c r="F12" s="60">
        <f t="shared" si="0"/>
        <v>0.21428571428571425</v>
      </c>
      <c r="G12" s="57" t="str">
        <f t="shared" si="1"/>
        <v>Behind</v>
      </c>
    </row>
    <row r="14" spans="1:7" x14ac:dyDescent="0.25">
      <c r="A14" s="66" t="s">
        <v>173</v>
      </c>
      <c r="B14" s="66"/>
      <c r="C14" s="66"/>
      <c r="D14" s="66"/>
      <c r="E14" s="66"/>
      <c r="F14" s="66"/>
      <c r="G14" s="66"/>
    </row>
    <row r="15" spans="1:7" x14ac:dyDescent="0.25">
      <c r="A15" s="23" t="s">
        <v>174</v>
      </c>
      <c r="C15" s="32">
        <f>COUNTIF(G5:G12,"Achieved")</f>
        <v>0</v>
      </c>
    </row>
    <row r="16" spans="1:7" x14ac:dyDescent="0.25">
      <c r="A16" s="23" t="s">
        <v>175</v>
      </c>
      <c r="C16" s="33">
        <f>COUNTIF(G5:G12,"On Track")</f>
        <v>4</v>
      </c>
    </row>
    <row r="17" spans="1:3" x14ac:dyDescent="0.25">
      <c r="A17" s="23" t="s">
        <v>176</v>
      </c>
      <c r="C17" s="34">
        <f>COUNTIF(G5:G12,"Behind")</f>
        <v>4</v>
      </c>
    </row>
  </sheetData>
  <mergeCells count="3">
    <mergeCell ref="A1:G1"/>
    <mergeCell ref="A2:G2"/>
    <mergeCell ref="A14:G14"/>
  </mergeCells>
  <conditionalFormatting sqref="F5:F12">
    <cfRule type="cellIs" dxfId="5" priority="5" operator="greaterThanOrEqual">
      <formula>1</formula>
    </cfRule>
    <cfRule type="expression" dxfId="4" priority="6">
      <formula>AND(F5&gt;=0.5,F5&lt;1)</formula>
    </cfRule>
    <cfRule type="expression" dxfId="3" priority="7">
      <formula>F5&lt;0.5</formula>
    </cfRule>
  </conditionalFormatting>
  <conditionalFormatting sqref="G5:G12">
    <cfRule type="cellIs" dxfId="2" priority="2" operator="equal">
      <formula>"Achieved"</formula>
    </cfRule>
    <cfRule type="cellIs" dxfId="1" priority="3" operator="equal">
      <formula>"On Track"</formula>
    </cfRule>
    <cfRule type="cellIs" dxfId="0" priority="4" operator="equal">
      <formula>"Behind"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Current State Assessment</vt:lpstr>
      <vt:lpstr>Priority Initiative Framework</vt:lpstr>
      <vt:lpstr>12-Month Roadmap</vt:lpstr>
      <vt:lpstr>Resource Requirement Planner</vt:lpstr>
      <vt:lpstr>KPI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midragul</cp:lastModifiedBy>
  <cp:revision>0</cp:revision>
  <dcterms:created xsi:type="dcterms:W3CDTF">2026-08-21T13:40:28Z</dcterms:created>
  <dcterms:modified xsi:type="dcterms:W3CDTF">2026-08-21T13:57:56Z</dcterms:modified>
  <dc:language>en-US</dc:language>
</cp:coreProperties>
</file>